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83C9CF-7ABC-466D-AB0D-AAC08F41A270}" xr6:coauthVersionLast="47" xr6:coauthVersionMax="47" xr10:uidLastSave="{00000000-0000-0000-0000-000000000000}"/>
  <bookViews>
    <workbookView xWindow="1536" yWindow="1536" windowWidth="17280" windowHeight="8880" tabRatio="500" xr2:uid="{00000000-000D-0000-FFFF-FFFF00000000}"/>
  </bookViews>
  <sheets>
    <sheet name="Cover" sheetId="1" r:id="rId1"/>
    <sheet name="Assumptions" sheetId="2" r:id="rId2"/>
    <sheet name="DCF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6" i="3" l="1"/>
  <c r="B97" i="3" s="1"/>
  <c r="D83" i="3"/>
  <c r="C83" i="3"/>
  <c r="B83" i="3"/>
  <c r="D81" i="3"/>
  <c r="C81" i="3"/>
  <c r="B81" i="3"/>
  <c r="D79" i="3"/>
  <c r="C79" i="3"/>
  <c r="B79" i="3"/>
  <c r="D74" i="3"/>
  <c r="C74" i="3"/>
  <c r="B74" i="3"/>
  <c r="B64" i="3"/>
  <c r="B63" i="3"/>
  <c r="B62" i="3"/>
  <c r="D52" i="3"/>
  <c r="C52" i="3"/>
  <c r="D41" i="3"/>
  <c r="C41" i="3"/>
  <c r="D40" i="3"/>
  <c r="D42" i="3" s="1"/>
  <c r="C40" i="3"/>
  <c r="C42" i="3" s="1"/>
  <c r="D30" i="3"/>
  <c r="C30" i="3"/>
  <c r="D25" i="3"/>
  <c r="D51" i="3" s="1"/>
  <c r="D53" i="3" s="1"/>
  <c r="C25" i="3"/>
  <c r="C51" i="3" s="1"/>
  <c r="C53" i="3" s="1"/>
  <c r="D24" i="3"/>
  <c r="C24" i="3"/>
  <c r="D23" i="3"/>
  <c r="D29" i="3" s="1"/>
  <c r="D31" i="3" s="1"/>
  <c r="C23" i="3"/>
  <c r="C29" i="3" s="1"/>
  <c r="C31" i="3" s="1"/>
  <c r="N21" i="3"/>
  <c r="M21" i="3"/>
  <c r="L21" i="3"/>
  <c r="K21" i="3"/>
  <c r="J21" i="3"/>
  <c r="I21" i="3"/>
  <c r="H21" i="3"/>
  <c r="G21" i="3"/>
  <c r="F21" i="3"/>
  <c r="E21" i="3"/>
  <c r="N20" i="3"/>
  <c r="M20" i="3"/>
  <c r="L20" i="3"/>
  <c r="K20" i="3"/>
  <c r="J20" i="3"/>
  <c r="I20" i="3"/>
  <c r="H20" i="3"/>
  <c r="G20" i="3"/>
  <c r="F20" i="3"/>
  <c r="E20" i="3"/>
  <c r="N19" i="3"/>
  <c r="M19" i="3"/>
  <c r="L19" i="3"/>
  <c r="K19" i="3"/>
  <c r="J19" i="3"/>
  <c r="I19" i="3"/>
  <c r="H19" i="3"/>
  <c r="G19" i="3"/>
  <c r="F19" i="3"/>
  <c r="E19" i="3"/>
  <c r="D15" i="3"/>
  <c r="E15" i="3" s="1"/>
  <c r="C15" i="3"/>
  <c r="D14" i="3"/>
  <c r="E14" i="3" s="1"/>
  <c r="C14" i="3"/>
  <c r="D13" i="3"/>
  <c r="E13" i="3" s="1"/>
  <c r="C13" i="3"/>
  <c r="N11" i="3"/>
  <c r="M11" i="3"/>
  <c r="L11" i="3"/>
  <c r="K11" i="3"/>
  <c r="J11" i="3"/>
  <c r="I11" i="3"/>
  <c r="H11" i="3"/>
  <c r="G11" i="3"/>
  <c r="F11" i="3"/>
  <c r="E11" i="3"/>
  <c r="N10" i="3"/>
  <c r="M10" i="3"/>
  <c r="L10" i="3"/>
  <c r="K10" i="3"/>
  <c r="J10" i="3"/>
  <c r="I10" i="3"/>
  <c r="H10" i="3"/>
  <c r="G10" i="3"/>
  <c r="F10" i="3"/>
  <c r="E10" i="3"/>
  <c r="N9" i="3"/>
  <c r="M9" i="3"/>
  <c r="L9" i="3"/>
  <c r="K9" i="3"/>
  <c r="J9" i="3"/>
  <c r="I9" i="3"/>
  <c r="H9" i="3"/>
  <c r="G9" i="3"/>
  <c r="F9" i="3"/>
  <c r="E9" i="3"/>
  <c r="B35" i="2"/>
  <c r="B31" i="2"/>
  <c r="B30" i="2"/>
  <c r="B32" i="2" s="1"/>
  <c r="B34" i="2" s="1"/>
  <c r="B66" i="3" s="1"/>
  <c r="B29" i="2"/>
  <c r="B65" i="3" s="1"/>
  <c r="C17" i="2"/>
  <c r="B17" i="2"/>
  <c r="B7" i="2"/>
  <c r="B36" i="2" s="1"/>
  <c r="B38" i="2" s="1"/>
  <c r="D12" i="1"/>
  <c r="C12" i="1"/>
  <c r="B12" i="1"/>
  <c r="D8" i="1"/>
  <c r="C8" i="1"/>
  <c r="B8" i="1"/>
  <c r="F88" i="3" l="1"/>
  <c r="E88" i="3"/>
  <c r="G88" i="3"/>
  <c r="D88" i="3"/>
  <c r="C88" i="3"/>
  <c r="F15" i="3"/>
  <c r="E25" i="3"/>
  <c r="E51" i="3" s="1"/>
  <c r="E57" i="3"/>
  <c r="E58" i="3"/>
  <c r="E52" i="3"/>
  <c r="E56" i="3" s="1"/>
  <c r="F14" i="3"/>
  <c r="E24" i="3"/>
  <c r="E40" i="3" s="1"/>
  <c r="E41" i="3"/>
  <c r="E45" i="3" s="1"/>
  <c r="E46" i="3"/>
  <c r="E47" i="3"/>
  <c r="F13" i="3"/>
  <c r="E23" i="3"/>
  <c r="E29" i="3" s="1"/>
  <c r="E30" i="3"/>
  <c r="E34" i="3" s="1"/>
  <c r="E35" i="3"/>
  <c r="E36" i="3"/>
  <c r="B67" i="3"/>
  <c r="B37" i="2"/>
  <c r="G15" i="3" l="1"/>
  <c r="F25" i="3"/>
  <c r="F51" i="3" s="1"/>
  <c r="F52" i="3"/>
  <c r="F56" i="3" s="1"/>
  <c r="F57" i="3"/>
  <c r="F58" i="3"/>
  <c r="G14" i="3"/>
  <c r="F24" i="3"/>
  <c r="F40" i="3" s="1"/>
  <c r="F42" i="3" s="1"/>
  <c r="F41" i="3"/>
  <c r="F45" i="3" s="1"/>
  <c r="F46" i="3"/>
  <c r="F47" i="3"/>
  <c r="G13" i="3"/>
  <c r="F23" i="3"/>
  <c r="F29" i="3" s="1"/>
  <c r="F30" i="3"/>
  <c r="F34" i="3" s="1"/>
  <c r="F36" i="3"/>
  <c r="F35" i="3"/>
  <c r="E53" i="3"/>
  <c r="E42" i="3"/>
  <c r="E31" i="3"/>
  <c r="B68" i="3"/>
  <c r="B39" i="2"/>
  <c r="B69" i="3" s="1"/>
  <c r="H15" i="3" l="1"/>
  <c r="G25" i="3"/>
  <c r="G51" i="3" s="1"/>
  <c r="G53" i="3" s="1"/>
  <c r="G57" i="3"/>
  <c r="G58" i="3"/>
  <c r="G52" i="3"/>
  <c r="G56" i="3" s="1"/>
  <c r="H14" i="3"/>
  <c r="G24" i="3"/>
  <c r="G40" i="3" s="1"/>
  <c r="G41" i="3"/>
  <c r="G45" i="3" s="1"/>
  <c r="G46" i="3"/>
  <c r="G47" i="3"/>
  <c r="F43" i="3"/>
  <c r="F44" i="3"/>
  <c r="F48" i="3" s="1"/>
  <c r="H13" i="3"/>
  <c r="G23" i="3"/>
  <c r="G29" i="3" s="1"/>
  <c r="G35" i="3"/>
  <c r="G36" i="3"/>
  <c r="G30" i="3"/>
  <c r="G34" i="3" s="1"/>
  <c r="E54" i="3"/>
  <c r="E55" i="3" s="1"/>
  <c r="E59" i="3" s="1"/>
  <c r="E43" i="3"/>
  <c r="E44" i="3" s="1"/>
  <c r="E48" i="3" s="1"/>
  <c r="E33" i="3"/>
  <c r="E37" i="3" s="1"/>
  <c r="E32" i="3"/>
  <c r="D7" i="1"/>
  <c r="C7" i="1"/>
  <c r="B91" i="3"/>
  <c r="B90" i="3"/>
  <c r="B89" i="3"/>
  <c r="B7" i="1"/>
  <c r="B93" i="3"/>
  <c r="B92" i="3"/>
  <c r="F31" i="3"/>
  <c r="F53" i="3"/>
  <c r="I15" i="3" l="1"/>
  <c r="H25" i="3"/>
  <c r="H51" i="3" s="1"/>
  <c r="H52" i="3"/>
  <c r="H56" i="3" s="1"/>
  <c r="H57" i="3"/>
  <c r="H58" i="3"/>
  <c r="G54" i="3"/>
  <c r="G55" i="3"/>
  <c r="G59" i="3" s="1"/>
  <c r="I14" i="3"/>
  <c r="H24" i="3"/>
  <c r="H40" i="3" s="1"/>
  <c r="H41" i="3"/>
  <c r="H45" i="3" s="1"/>
  <c r="H46" i="3"/>
  <c r="H47" i="3"/>
  <c r="I13" i="3"/>
  <c r="H23" i="3"/>
  <c r="H29" i="3" s="1"/>
  <c r="H31" i="3" s="1"/>
  <c r="H35" i="3"/>
  <c r="H36" i="3"/>
  <c r="H30" i="3"/>
  <c r="H34" i="3" s="1"/>
  <c r="F32" i="3"/>
  <c r="F33" i="3" s="1"/>
  <c r="F37" i="3" s="1"/>
  <c r="F54" i="3"/>
  <c r="F55" i="3" s="1"/>
  <c r="F59" i="3" s="1"/>
  <c r="G42" i="3"/>
  <c r="G31" i="3"/>
  <c r="J15" i="3" l="1"/>
  <c r="I25" i="3"/>
  <c r="I51" i="3" s="1"/>
  <c r="I57" i="3"/>
  <c r="I58" i="3"/>
  <c r="I52" i="3"/>
  <c r="I56" i="3" s="1"/>
  <c r="J14" i="3"/>
  <c r="I24" i="3"/>
  <c r="I40" i="3" s="1"/>
  <c r="I41" i="3"/>
  <c r="I45" i="3" s="1"/>
  <c r="I46" i="3"/>
  <c r="I47" i="3"/>
  <c r="J13" i="3"/>
  <c r="I23" i="3"/>
  <c r="I29" i="3" s="1"/>
  <c r="I35" i="3"/>
  <c r="I36" i="3"/>
  <c r="I30" i="3"/>
  <c r="I34" i="3" s="1"/>
  <c r="H32" i="3"/>
  <c r="H33" i="3" s="1"/>
  <c r="H37" i="3" s="1"/>
  <c r="G43" i="3"/>
  <c r="G44" i="3" s="1"/>
  <c r="G48" i="3" s="1"/>
  <c r="G32" i="3"/>
  <c r="G33" i="3"/>
  <c r="G37" i="3" s="1"/>
  <c r="H53" i="3"/>
  <c r="H42" i="3"/>
  <c r="K15" i="3" l="1"/>
  <c r="J25" i="3"/>
  <c r="J51" i="3" s="1"/>
  <c r="J57" i="3"/>
  <c r="J58" i="3"/>
  <c r="J52" i="3"/>
  <c r="J56" i="3" s="1"/>
  <c r="K14" i="3"/>
  <c r="J24" i="3"/>
  <c r="J40" i="3" s="1"/>
  <c r="J41" i="3"/>
  <c r="J45" i="3" s="1"/>
  <c r="J46" i="3"/>
  <c r="J47" i="3"/>
  <c r="K13" i="3"/>
  <c r="J23" i="3"/>
  <c r="J29" i="3" s="1"/>
  <c r="J30" i="3"/>
  <c r="J34" i="3" s="1"/>
  <c r="J36" i="3"/>
  <c r="J35" i="3"/>
  <c r="H54" i="3"/>
  <c r="H55" i="3" s="1"/>
  <c r="H59" i="3" s="1"/>
  <c r="H43" i="3"/>
  <c r="H44" i="3" s="1"/>
  <c r="H48" i="3" s="1"/>
  <c r="I53" i="3"/>
  <c r="I42" i="3"/>
  <c r="I31" i="3"/>
  <c r="L15" i="3" l="1"/>
  <c r="K25" i="3"/>
  <c r="K51" i="3" s="1"/>
  <c r="K52" i="3"/>
  <c r="K56" i="3" s="1"/>
  <c r="K57" i="3"/>
  <c r="K58" i="3"/>
  <c r="L14" i="3"/>
  <c r="K24" i="3"/>
  <c r="K40" i="3" s="1"/>
  <c r="K41" i="3"/>
  <c r="K45" i="3" s="1"/>
  <c r="K46" i="3"/>
  <c r="K47" i="3"/>
  <c r="L13" i="3"/>
  <c r="K23" i="3"/>
  <c r="K29" i="3" s="1"/>
  <c r="K35" i="3"/>
  <c r="K36" i="3"/>
  <c r="K30" i="3"/>
  <c r="K34" i="3" s="1"/>
  <c r="I54" i="3"/>
  <c r="I55" i="3" s="1"/>
  <c r="I59" i="3" s="1"/>
  <c r="I43" i="3"/>
  <c r="I44" i="3" s="1"/>
  <c r="I48" i="3" s="1"/>
  <c r="I33" i="3"/>
  <c r="I37" i="3" s="1"/>
  <c r="I32" i="3"/>
  <c r="J53" i="3"/>
  <c r="J42" i="3"/>
  <c r="J31" i="3"/>
  <c r="M15" i="3" l="1"/>
  <c r="L25" i="3"/>
  <c r="L51" i="3" s="1"/>
  <c r="L57" i="3"/>
  <c r="L58" i="3"/>
  <c r="L52" i="3"/>
  <c r="L56" i="3" s="1"/>
  <c r="M14" i="3"/>
  <c r="L24" i="3"/>
  <c r="L40" i="3" s="1"/>
  <c r="L41" i="3"/>
  <c r="L45" i="3" s="1"/>
  <c r="L46" i="3"/>
  <c r="L47" i="3"/>
  <c r="M13" i="3"/>
  <c r="L23" i="3"/>
  <c r="L29" i="3" s="1"/>
  <c r="L35" i="3"/>
  <c r="L36" i="3"/>
  <c r="L30" i="3"/>
  <c r="L34" i="3" s="1"/>
  <c r="J54" i="3"/>
  <c r="J55" i="3" s="1"/>
  <c r="J59" i="3" s="1"/>
  <c r="J43" i="3"/>
  <c r="J44" i="3" s="1"/>
  <c r="J48" i="3" s="1"/>
  <c r="J32" i="3"/>
  <c r="J33" i="3" s="1"/>
  <c r="J37" i="3" s="1"/>
  <c r="K53" i="3"/>
  <c r="K42" i="3"/>
  <c r="K31" i="3"/>
  <c r="N15" i="3" l="1"/>
  <c r="M25" i="3"/>
  <c r="M51" i="3" s="1"/>
  <c r="M58" i="3"/>
  <c r="M52" i="3"/>
  <c r="M56" i="3" s="1"/>
  <c r="M57" i="3"/>
  <c r="N14" i="3"/>
  <c r="M24" i="3"/>
  <c r="M40" i="3" s="1"/>
  <c r="M41" i="3"/>
  <c r="M45" i="3" s="1"/>
  <c r="M46" i="3"/>
  <c r="M47" i="3"/>
  <c r="N13" i="3"/>
  <c r="M23" i="3"/>
  <c r="M29" i="3" s="1"/>
  <c r="M30" i="3"/>
  <c r="M34" i="3" s="1"/>
  <c r="M35" i="3"/>
  <c r="M36" i="3"/>
  <c r="K54" i="3"/>
  <c r="K55" i="3" s="1"/>
  <c r="K59" i="3" s="1"/>
  <c r="K43" i="3"/>
  <c r="K44" i="3" s="1"/>
  <c r="K48" i="3" s="1"/>
  <c r="K33" i="3"/>
  <c r="K37" i="3" s="1"/>
  <c r="K32" i="3"/>
  <c r="L42" i="3"/>
  <c r="L31" i="3"/>
  <c r="L53" i="3"/>
  <c r="N25" i="3" l="1"/>
  <c r="N51" i="3" s="1"/>
  <c r="N57" i="3"/>
  <c r="N58" i="3"/>
  <c r="N52" i="3"/>
  <c r="N56" i="3" s="1"/>
  <c r="N24" i="3"/>
  <c r="N40" i="3" s="1"/>
  <c r="N42" i="3" s="1"/>
  <c r="N41" i="3"/>
  <c r="N45" i="3" s="1"/>
  <c r="N46" i="3"/>
  <c r="N47" i="3"/>
  <c r="B106" i="3"/>
  <c r="N23" i="3"/>
  <c r="N29" i="3" s="1"/>
  <c r="N30" i="3"/>
  <c r="N34" i="3" s="1"/>
  <c r="N35" i="3"/>
  <c r="N36" i="3"/>
  <c r="L43" i="3"/>
  <c r="L44" i="3" s="1"/>
  <c r="L48" i="3" s="1"/>
  <c r="L32" i="3"/>
  <c r="L33" i="3"/>
  <c r="L37" i="3" s="1"/>
  <c r="L54" i="3"/>
  <c r="L55" i="3" s="1"/>
  <c r="L59" i="3" s="1"/>
  <c r="M53" i="3"/>
  <c r="M42" i="3"/>
  <c r="M31" i="3"/>
  <c r="N43" i="3" l="1"/>
  <c r="N44" i="3"/>
  <c r="N48" i="3" s="1"/>
  <c r="M54" i="3"/>
  <c r="M55" i="3" s="1"/>
  <c r="M59" i="3" s="1"/>
  <c r="M43" i="3"/>
  <c r="M44" i="3" s="1"/>
  <c r="M48" i="3" s="1"/>
  <c r="M32" i="3"/>
  <c r="M33" i="3"/>
  <c r="M37" i="3" s="1"/>
  <c r="N53" i="3"/>
  <c r="N31" i="3"/>
  <c r="C73" i="3" l="1"/>
  <c r="B104" i="3"/>
  <c r="N54" i="3"/>
  <c r="N55" i="3" s="1"/>
  <c r="N59" i="3" s="1"/>
  <c r="N32" i="3"/>
  <c r="N33" i="3" s="1"/>
  <c r="N37" i="3" s="1"/>
  <c r="F91" i="3"/>
  <c r="F92" i="3"/>
  <c r="E91" i="3"/>
  <c r="D89" i="3"/>
  <c r="G93" i="3"/>
  <c r="E89" i="3"/>
  <c r="C77" i="3"/>
  <c r="D93" i="3"/>
  <c r="D90" i="3"/>
  <c r="F93" i="3"/>
  <c r="G89" i="3"/>
  <c r="C89" i="3"/>
  <c r="G90" i="3"/>
  <c r="F90" i="3"/>
  <c r="G91" i="3"/>
  <c r="E93" i="3"/>
  <c r="C90" i="3"/>
  <c r="C91" i="3"/>
  <c r="C92" i="3"/>
  <c r="F89" i="3"/>
  <c r="D91" i="3"/>
  <c r="D92" i="3"/>
  <c r="E92" i="3"/>
  <c r="C93" i="3"/>
  <c r="G92" i="3"/>
  <c r="E90" i="3"/>
  <c r="C75" i="3" l="1"/>
  <c r="C76" i="3" s="1"/>
  <c r="C78" i="3" s="1"/>
  <c r="B102" i="3"/>
  <c r="D77" i="3"/>
  <c r="D78" i="3" s="1"/>
  <c r="D73" i="3"/>
  <c r="D75" i="3" s="1"/>
  <c r="D76" i="3" s="1"/>
  <c r="B77" i="3"/>
  <c r="B73" i="3"/>
  <c r="B75" i="3" s="1"/>
  <c r="B76" i="3" s="1"/>
  <c r="B98" i="3"/>
  <c r="B99" i="3" s="1"/>
  <c r="B100" i="3" s="1"/>
  <c r="B101" i="3" s="1"/>
  <c r="D80" i="3" l="1"/>
  <c r="D9" i="1"/>
  <c r="B105" i="3"/>
  <c r="B103" i="3"/>
  <c r="C80" i="3"/>
  <c r="C9" i="1"/>
  <c r="B78" i="3"/>
  <c r="D82" i="3" l="1"/>
  <c r="D10" i="1"/>
  <c r="C82" i="3"/>
  <c r="C10" i="1"/>
  <c r="B80" i="3"/>
  <c r="B9" i="1"/>
  <c r="D84" i="3" l="1"/>
  <c r="D13" i="1" s="1"/>
  <c r="D11" i="1"/>
  <c r="C11" i="1"/>
  <c r="C84" i="3"/>
  <c r="C13" i="1" s="1"/>
  <c r="B82" i="3"/>
  <c r="B10" i="1"/>
  <c r="B84" i="3" l="1"/>
  <c r="B13" i="1" s="1"/>
  <c r="B11" i="1"/>
</calcChain>
</file>

<file path=xl/sharedStrings.xml><?xml version="1.0" encoding="utf-8"?>
<sst xmlns="http://schemas.openxmlformats.org/spreadsheetml/2006/main" count="231" uniqueCount="186">
  <si>
    <t>Buy-Side Equity DCF Valuation  |  NSE: ETERNAL  |  BSE: 543320  |  Sector: Consumer Tech (Food Delivery / Quick Commerce)</t>
  </si>
  <si>
    <t>Prepared: 20-Jul-2026  |  Basis: FY25A &amp; FY26A audited/reported consolidated financials, live market data as of 17/19-Jul-2026</t>
  </si>
  <si>
    <t>SCENARIO SUMMARY</t>
  </si>
  <si>
    <t>Metric</t>
  </si>
  <si>
    <t>Bear</t>
  </si>
  <si>
    <t>Base</t>
  </si>
  <si>
    <t>Bull</t>
  </si>
  <si>
    <t>WACC</t>
  </si>
  <si>
    <t>Terminal Growth Rate</t>
  </si>
  <si>
    <t>Enterprise Value (Rs Cr)</t>
  </si>
  <si>
    <t>Equity Value (Rs Cr)</t>
  </si>
  <si>
    <t>Implied Price (Rs/share)</t>
  </si>
  <si>
    <t>CMP (Rs/share)</t>
  </si>
  <si>
    <t>Upside / (Downside) %</t>
  </si>
  <si>
    <t>KEY OBSERVATIONS</t>
  </si>
  <si>
    <t>1. Eternal (Zomato/Blinkit/District/Hyperpure) trades at CMP Rs286.6, implying a market cap of ~Rs2.77 lakh Cr and a trailing P/E north of 700x - the market is pricing in a scale of future profitability far beyond current reported earnings.</t>
  </si>
  <si>
    <t>2. FY26A reported revenue of Rs54,364 Cr (+169% YoY) is NOT a clean like-for-like comparison to FY25A: it reflects Blinkit's shift to an inventory-led (gross) revenue recognition model plus the consolidation of the acquired Paytm movie-ticketing/District business. Underlying like-for-like growth is materially lower - treat the FY25-&gt;FY26 growth rate as a reported-basis data point, not an organic growth signal.</t>
  </si>
  <si>
    <t>3. Reported EBIT is negative in both FY25A and FY26A (heavy dark-store D&amp;A), with positive PAT sustained almost entirely by a large other-income/interest line on the company's ~Rs14,000+ Cr cash &amp; investment pile - a structural feature that fades as that pile is deployed into growth capex.</t>
  </si>
  <si>
    <t>4. WACC of ~15.8%-15.9% (driven by a high Beta of 1.26 and India's elevated 7.31% Damodaran ERP) sets a demanding hurdle rate; small changes in WACC or TGR swing the implied price materially (see DCF Sheet, Section 6 sensitivity grid).</t>
  </si>
  <si>
    <t>5. The Reverse DCF (DCF Sheet, Section 7) backs out the terminal FCFF / steady-state revenue the market is implicitly pricing in at CMP - compare this to the Base-case explicit FY36E figures to judge whether CMP already embeds Bull-case-like assumptions.</t>
  </si>
  <si>
    <t>6. Several inputs are flagged [ESTIMATED] because primary filings did not disclose them directly (Capex, Change in NWC, Beta, Kd) - see the Rationale column on the Assumptions sheet for the derivation of every such figure before relying on this model for investment decisions.</t>
  </si>
  <si>
    <t>COLOR LEGEND</t>
  </si>
  <si>
    <t>Blue text</t>
  </si>
  <si>
    <t>Hardcoded input (Assumptions sheet only)</t>
  </si>
  <si>
    <t>Black text</t>
  </si>
  <si>
    <t>Formula, calculated within the same sheet</t>
  </si>
  <si>
    <t>Green text</t>
  </si>
  <si>
    <t>Link / formula referencing another sheet</t>
  </si>
  <si>
    <t>Yellow fill</t>
  </si>
  <si>
    <t>Key output cell (WACC, Implied Price, Upside %, etc.)</t>
  </si>
  <si>
    <t>ETERNAL LIMITED (formerly Zomato Ltd) - ASSUMPTIONS</t>
  </si>
  <si>
    <t>Sector: Consumer Tech (Food Delivery / Quick Commerce)  |  Buy-Side Equity DCF  |  All figures Rs Crore unless stated  |  Consolidated (audited)</t>
  </si>
  <si>
    <t>1. Market &amp; Share Data</t>
  </si>
  <si>
    <t>Source: NSE close, 17-Jul-2026 (multiple live feeds cross-checked: IndMoney/Kotak Neo/Google Finance)</t>
  </si>
  <si>
    <t>Diluted Shares O/S (Cr)</t>
  </si>
  <si>
    <t>[ESTIMATED - basis: FY26 PAT Rs366 Cr / diluted EPS Rs0.38 (screener.in) = ~963 Cr diluted shares; basic shares ~919 Cr per equity capital of Rs919 Cr @ FV Re1]</t>
  </si>
  <si>
    <t>Market Cap (Rs Cr)</t>
  </si>
  <si>
    <t>Note: CMP x Diluted Shares</t>
  </si>
  <si>
    <t>2. Net Cash Position (Rs Cr) - Net Cash = Cash &amp; Equivalents minus Total Debt</t>
  </si>
  <si>
    <t>Net Cash - FY25A (Mar-25)</t>
  </si>
  <si>
    <t>Source: Tijori Finance - reported net debt Mar-25 = -Rs7,221 Cr (i.e. net cash of Rs7,221 Cr)</t>
  </si>
  <si>
    <t>Net Cash - FY26A (Mar-26, latest)</t>
  </si>
  <si>
    <t>Source: Tijori Finance - reported net debt Mar-26 = -Rs1,523 Cr; decline vs FY25 driven by Blinkit dark-store capex, Paytm-ticketing M&amp;A and rising lease-linked borrowings</t>
  </si>
  <si>
    <t>3. Actuals - Last 2 Financial Years (Consolidated, Rs Cr)</t>
  </si>
  <si>
    <t>Line Item</t>
  </si>
  <si>
    <t>FY25A</t>
  </si>
  <si>
    <t>FY26A</t>
  </si>
  <si>
    <t>Source / Note</t>
  </si>
  <si>
    <t>Revenue from Operations</t>
  </si>
  <si>
    <t>Screener.in consolidated P&amp;L (audited annual report FY25; FY26 results filed w/ NSE/BSE 28-Apr-2026). FY26 growth (+169% YoY) driven largely by Blinkit's shift to an inventory-led (gross) revenue model plus consolidation of the acquired Paytm movie-ticketing/District business - NOT purely organic like-for-like growth. [FLAG: revenue basis change FY26]</t>
  </si>
  <si>
    <t>EBITDA (reported Operating Profit)</t>
  </si>
  <si>
    <t>Screener.in - Sales less Expenses (pre-D&amp;A, pre-interest), consolidated</t>
  </si>
  <si>
    <t>EBIT (EBITDA less D&amp;A)</t>
  </si>
  <si>
    <t>Formula: EBITDA - D&amp;A. Negative EBIT despite positive PAT reflects heavy dark-store depreciation offset by large other/interest income (~Rs14,000 Cr cash pile).</t>
  </si>
  <si>
    <t>D&amp;A</t>
  </si>
  <si>
    <t>Screener.in P&amp;L - Depreciation &amp; Amortisation</t>
  </si>
  <si>
    <t>Capex [ESTIMATED]</t>
  </si>
  <si>
    <t>[ESTIMATED - basis: Capex = Cash from Operations less reported Free Cash Flow (screener.in/Tijori). FY25: 308-(-623)=931; FY26: 632-(-1114)=1746. Primary capex note not separately disclosed in sourced filings.]</t>
  </si>
  <si>
    <t>Change in Net Working Capital [ESTIMATED]</t>
  </si>
  <si>
    <t>[ESTIMATED - basis: NWC = Revenue x Working Capital Days /365 (screener.in ratios: FY24=41 days, FY25=45 days, FY26=57 days); change = current yr NWC - prior yr NWC. Large FY26 jump consistent with Blinkit inventory build-out.]</t>
  </si>
  <si>
    <t>Effective Tax Rate (reported)</t>
  </si>
  <si>
    <t>Screener.in P&amp;L - Tax % of PBT. FY26 rate elevated/volatile (deferred-tax movement); statutory rate used for forecast tax shield (see WACC block).</t>
  </si>
  <si>
    <t>Interest Expense</t>
  </si>
  <si>
    <t>Screener.in P&amp;L - Interest (includes Ind AS 116 lease interest, inflating apparent cost of debt)</t>
  </si>
  <si>
    <t>Total Debt / Borrowings (period-end)</t>
  </si>
  <si>
    <t>Screener.in Balance Sheet - Borrowings, consolidated</t>
  </si>
  <si>
    <t>4. WACC Build</t>
  </si>
  <si>
    <t>Risk-free rate Rf (10Y India G-Sec)</t>
  </si>
  <si>
    <t>Source: India 10Y G-Sec yield, mid-Jul 2026 (Trading Economics / DealPlexus; range ~6.72%-6.79% in the two weeks to 17-Jul-2026)</t>
  </si>
  <si>
    <t>Equity Risk Premium - India (Damodaran)</t>
  </si>
  <si>
    <t>Source: Damodaran Country Risk Premium update, July 2026 - India total ERP = 4.17% mature-market ERP + ~3.14% India country risk premium = 7.31%</t>
  </si>
  <si>
    <t>Beta (Eternal vs Nifty50)</t>
  </si>
  <si>
    <t>[ESTIMATED - basis: TradingView-reported beta coefficient (methodology/lookback not independently verified); a primary 2Y-weekly regression vs Nifty50 could not be sourced from a data terminal in this research]</t>
  </si>
  <si>
    <t>Cost of Equity Ke = Rf + Beta x ERP</t>
  </si>
  <si>
    <t>Interest Expense (FY26A)</t>
  </si>
  <si>
    <t>Average Debt (FY25-FY26)</t>
  </si>
  <si>
    <t>Pre-tax Cost of Debt Kd</t>
  </si>
  <si>
    <t>[ESTIMATED - Kd = FY26 interest expense / average FY25-26 debt; elevated by Ind AS 116 lease interest embedded in reported interest expense and finance-lease borrowings]</t>
  </si>
  <si>
    <t>Statutory Tax Rate (WACC &amp; NOPAT)</t>
  </si>
  <si>
    <t>Source: Indian domestic corporate tax rate incl. surcharge &amp; cess (~25.17%), used given volatility of reported effective rate (24%-40% across FY25-FY26)</t>
  </si>
  <si>
    <t>After-tax Cost of Debt</t>
  </si>
  <si>
    <t>Debt (Market Value proxy, latest)</t>
  </si>
  <si>
    <t>Equity (Market Value = Market Cap)</t>
  </si>
  <si>
    <t>Weight of Debt Wd</t>
  </si>
  <si>
    <t>Weight of Equity We</t>
  </si>
  <si>
    <t>5. Scenario Drivers - Bear / Base / Bull</t>
  </si>
  <si>
    <t>Driver</t>
  </si>
  <si>
    <t>Rationale / Source</t>
  </si>
  <si>
    <t>Revenue Growth - Yr1 (FY27E) %</t>
  </si>
  <si>
    <t>Analyst consensus revenue growth ~23% p.a. blended over next 3 yrs (Simply Wall St, Jul 2026 estimate); Bear/Bull set as a band around Base. [ESTIMATED]</t>
  </si>
  <si>
    <t>Revenue Growth - Yr10 (FY36E) %</t>
  </si>
  <si>
    <t>Growth converges toward steady-state as scale matures and base effect normalises. [ESTIMATED]</t>
  </si>
  <si>
    <t>EBITDA Margin - Yr1 (FY27E) %</t>
  </si>
  <si>
    <t>Near FY26A margin of ~2.2% (screener.in) with modest near-term improvement as Blinkit losses narrow. [ESTIMATED]</t>
  </si>
  <si>
    <t>EBITDA Margin - Yr10 (FY36E) %</t>
  </si>
  <si>
    <t>Global quick-commerce/food-delivery steady-state margins of 8%-15% cited by management/analysts as the path for Blinkit + food delivery combined. [ESTIMATED]</t>
  </si>
  <si>
    <t>D&amp;A % of Revenue - Yr1</t>
  </si>
  <si>
    <t>FY26A D&amp;A/Revenue ~2.9% (screener.in); near-term elevated on dark-store rollout. [ESTIMATED]</t>
  </si>
  <si>
    <t>D&amp;A % of Revenue - Yr10</t>
  </si>
  <si>
    <t>Tapers as fixed-asset base scales sub-linearly with revenue at maturity. [ESTIMATED]</t>
  </si>
  <si>
    <t>Capex % of Revenue - Yr1</t>
  </si>
  <si>
    <t>FY26A implied capex/revenue ~3.2% (derived, see Capex row above); near-term elevated for dark-store/warehouse capex. [ESTIMATED]</t>
  </si>
  <si>
    <t>Capex % of Revenue - Yr10</t>
  </si>
  <si>
    <t>Converges toward D&amp;A run-rate at maturity, per standard terminal-value convention (steady-state capex ~ D&amp;A). [ESTIMATED]</t>
  </si>
  <si>
    <t>Change in NWC as % of Incremental Revenue</t>
  </si>
  <si>
    <t>FY26A implied NWC-change/revenue-change ~17.5% (transitional, Blinkit inventory build); assumed to normalise materially lower over the forecast as the model matures. [ESTIMATED]</t>
  </si>
  <si>
    <t>Terminal Growth Rate (TGR / g)</t>
  </si>
  <si>
    <t>Set below both the risk-free rate and long-run nominal India GDP growth (~10-11%), per standard Gordon Growth Model convention. [ESTIMATED]</t>
  </si>
  <si>
    <t>Color Legend</t>
  </si>
  <si>
    <t>Hardcoded input (this sheet only)</t>
  </si>
  <si>
    <t>Formula, same sheet</t>
  </si>
  <si>
    <t>Link to another sheet</t>
  </si>
  <si>
    <t>Key output cell (e.g. WACC)</t>
  </si>
  <si>
    <t>ETERNAL LIMITED (formerly Zomato Ltd) - DCF (Rs Crore, Consolidated)</t>
  </si>
  <si>
    <t>10-Year Explicit Forecast + Gordon Growth Terminal Value | FCFF = NOPAT + D&amp;A - Capex - Change in NWC | Scenarios: Bear / Base / Bull</t>
  </si>
  <si>
    <t>Fiscal Year</t>
  </si>
  <si>
    <t>Period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</si>
  <si>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</si>
  <si>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</si>
  <si>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</si>
  <si>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</si>
  <si>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</si>
  <si>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</si>
  <si>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</si>
  <si>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</si>
  <si>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</si>
  <si>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FY36E</t>
  </si>
  <si>
    <t>Period # (t, for PV)</t>
  </si>
  <si>
    <t>SECTION 1 - REVENUE BUILD</t>
  </si>
  <si>
    <t>Revenue Growth % YoY</t>
  </si>
  <si>
    <t xml:space="preserve">  Bear</t>
  </si>
  <si>
    <t xml:space="preserve">  Base</t>
  </si>
  <si>
    <t xml:space="preserve">  Bull</t>
  </si>
  <si>
    <t>Revenue (Rs Cr)</t>
  </si>
  <si>
    <t>SECTION 2 - EBITDA BRIDGE (Margin x Revenue)</t>
  </si>
  <si>
    <t>EBITDA Margin %</t>
  </si>
  <si>
    <t>EBITDA (Rs Cr)</t>
  </si>
  <si>
    <t>SECTION 3 - FCFF WATERFALL  (EBITDA -&gt; D&amp;A -&gt; EBIT -&gt; Tax -&gt; NOPAT -&gt; +D&amp;A -&gt; -Capex -&gt; -dNWC -&gt; FCFF)</t>
  </si>
  <si>
    <t>Bear Case</t>
  </si>
  <si>
    <t xml:space="preserve">  EBITDA</t>
  </si>
  <si>
    <t xml:space="preserve">  (-) D&amp;A</t>
  </si>
  <si>
    <t xml:space="preserve">  EBIT</t>
  </si>
  <si>
    <t xml:space="preserve">  (-) Tax @ statutory rate</t>
  </si>
  <si>
    <t xml:space="preserve">  NOPAT</t>
  </si>
  <si>
    <t xml:space="preserve">  (+) D&amp;A</t>
  </si>
  <si>
    <t xml:space="preserve">  (-) Capex</t>
  </si>
  <si>
    <t xml:space="preserve">  (-) Change in NWC</t>
  </si>
  <si>
    <t xml:space="preserve">  FCFF</t>
  </si>
  <si>
    <t>Base Case</t>
  </si>
  <si>
    <t>Bull Case</t>
  </si>
  <si>
    <t>SECTION 4 - WACC SUMMARY (linked from Assumptions)</t>
  </si>
  <si>
    <t>Risk-free Rate (Rf)</t>
  </si>
  <si>
    <t>Equity Risk Premium (ERP)</t>
  </si>
  <si>
    <t>Beta</t>
  </si>
  <si>
    <t>Cost of Equity (Ke)</t>
  </si>
  <si>
    <t>After-tax Cost of Debt (Kd)</t>
  </si>
  <si>
    <t>Weight of Equity (We)</t>
  </si>
  <si>
    <t>Weight of Debt (Wd)</t>
  </si>
  <si>
    <t>SECTION 5 - VALUATION TABLE</t>
  </si>
  <si>
    <t>Terminal FCFF (FY36E, Rs Cr)</t>
  </si>
  <si>
    <t>Terminal Growth Rate (g)</t>
  </si>
  <si>
    <t>Terminal Value TV = FCFFn(1+g)/(WACC-g)</t>
  </si>
  <si>
    <t>PV (Terminal Value)</t>
  </si>
  <si>
    <t>PV (Sum of 10Y Explicit FCFFs)</t>
  </si>
  <si>
    <t>Enterprise Value (EV)</t>
  </si>
  <si>
    <t>(+) Net Cash (FY26A, latest)</t>
  </si>
  <si>
    <t>Equity Value</t>
  </si>
  <si>
    <t>Implied Price per Share (Rs)</t>
  </si>
  <si>
    <t>CMP (Rs)</t>
  </si>
  <si>
    <t>SECTION 6 - SENSITIVITY: Implied Price (Rs) - WACC (rows) x Terminal Growth Rate (cols) - Base Case FCFFs, GGM throughout</t>
  </si>
  <si>
    <t>(WACC and TGR flex independently of the Base-case scenario driver values above; Base-case FCFF stream held fixed, PV recomputed for each WACC)</t>
  </si>
  <si>
    <t>WACC \ TGR</t>
  </si>
  <si>
    <t>SECTION 7 - REVERSE DCF (Base Case WACC/TGR; solves what the market is pricing in)</t>
  </si>
  <si>
    <t>Equity Value implied by CMP</t>
  </si>
  <si>
    <t>EV implied by CMP (less Net Cash)</t>
  </si>
  <si>
    <t>Less: PV of 10Y Explicit FCFFs (Base case)</t>
  </si>
  <si>
    <t>Net: PV (Terminal Value) implied by CMP</t>
  </si>
  <si>
    <t>Implied Terminal Value (undiscounted)</t>
  </si>
  <si>
    <t>Implied Terminal FCFF (at Base WACC &amp; TGR)</t>
  </si>
  <si>
    <t>vs. Explicit Base-Case Terminal FCFF (FY36E)</t>
  </si>
  <si>
    <t>Implied vs Explicit Terminal FCFF - Gap %</t>
  </si>
  <si>
    <t>Base-Case Steady-State FCFF Margin (FY36E FCFF / Revenue)</t>
  </si>
  <si>
    <t>Implied Steady-State Revenue (at CMP)</t>
  </si>
  <si>
    <t>vs. Explicit Base-Case Revenue (FY36E)</t>
  </si>
  <si>
    <t>Note: gap &gt; 0 implies market is pricing in a higher terminal cash-generation capacity than the Base-case explicit forecast (i.e. CMP embeds more optimistic long-run assumptions); gap &lt; 0 implies the reverse.</t>
  </si>
  <si>
    <t xml:space="preserve">ETERNAL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</si>
</sst>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%;\(0.00%\);\-"/>
    <numFmt numFmtId="165" formatCode="0.0%;\(0.0%\);\-"/>
    <numFmt numFmtId="166" formatCode="#,##0;\(#,##0\);\-"/>
    <numFmt numFmtId="167" formatCode="&quot;Rs &quot;#,##0.00;&quot;(Rs &quot;#,##0.00\);\-"/>
    <numFmt numFmtId="168" formatCode="#,##0.0;\(#,##0.0\);\-"/>
  </numFmts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1"/>
      <color theme="1"/>
      <name val="Arial"/>
      <family val="2"/>
    </font>
    <font>
      <i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9"/>
      <color rgb="FF000000"/>
      <name val="Arial"/>
      <family val="2"/>
    </font>
    <font>
      <b/>
      <sz val="10"/>
      <color rgb="FF0000FF"/>
      <name val="Arial"/>
      <family val="2"/>
    </font>
    <font>
      <b/>
      <sz val="14"/>
      <color rgb="FFFFFFFF"/>
      <name val="Arial"/>
      <family val="2"/>
    </font>
    <font>
      <sz val="10"/>
      <color rgb="FF0000FF"/>
      <name val="Arial"/>
      <family val="2"/>
    </font>
    <font>
      <b/>
      <i/>
      <sz val="10"/>
      <color rgb="FF000000"/>
      <name val="Arial"/>
      <family val="2"/>
    </font>
    <font>
      <b/>
      <sz val="10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2" fillId="2" borderId="0" xfId="0" applyFont="1" applyFill="1"/>
    <xf numFmtId="0" fontId="10" fillId="0" borderId="0" xfId="0" applyFont="1"/>
    <xf numFmtId="0" fontId="5" fillId="3" borderId="0" xfId="0" applyFont="1" applyFill="1"/>
    <xf numFmtId="0" fontId="4" fillId="0" borderId="0" xfId="0" applyFont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7" fillId="0" borderId="0" xfId="0" applyFont="1"/>
    <xf numFmtId="164" fontId="8" fillId="4" borderId="0" xfId="0" applyNumberFormat="1" applyFont="1" applyFill="1"/>
    <xf numFmtId="164" fontId="8" fillId="5" borderId="0" xfId="0" applyNumberFormat="1" applyFont="1" applyFill="1"/>
    <xf numFmtId="164" fontId="8" fillId="6" borderId="0" xfId="0" applyNumberFormat="1" applyFont="1" applyFill="1"/>
    <xf numFmtId="165" fontId="8" fillId="4" borderId="0" xfId="0" applyNumberFormat="1" applyFont="1" applyFill="1"/>
    <xf numFmtId="165" fontId="8" fillId="5" borderId="0" xfId="0" applyNumberFormat="1" applyFont="1" applyFill="1"/>
    <xf numFmtId="165" fontId="8" fillId="6" borderId="0" xfId="0" applyNumberFormat="1" applyFont="1" applyFill="1"/>
    <xf numFmtId="166" fontId="8" fillId="4" borderId="0" xfId="0" applyNumberFormat="1" applyFont="1" applyFill="1"/>
    <xf numFmtId="166" fontId="8" fillId="5" borderId="0" xfId="0" applyNumberFormat="1" applyFont="1" applyFill="1"/>
    <xf numFmtId="166" fontId="8" fillId="6" borderId="0" xfId="0" applyNumberFormat="1" applyFont="1" applyFill="1"/>
    <xf numFmtId="167" fontId="9" fillId="7" borderId="0" xfId="0" applyNumberFormat="1" applyFont="1" applyFill="1"/>
    <xf numFmtId="167" fontId="8" fillId="4" borderId="0" xfId="0" applyNumberFormat="1" applyFont="1" applyFill="1"/>
    <xf numFmtId="167" fontId="8" fillId="5" borderId="0" xfId="0" applyNumberFormat="1" applyFont="1" applyFill="1"/>
    <xf numFmtId="167" fontId="8" fillId="6" borderId="0" xfId="0" applyNumberFormat="1" applyFont="1" applyFill="1"/>
    <xf numFmtId="165" fontId="8" fillId="7" borderId="0" xfId="0" applyNumberFormat="1" applyFont="1" applyFill="1"/>
    <xf numFmtId="0" fontId="11" fillId="0" borderId="0" xfId="0" applyFont="1"/>
    <xf numFmtId="0" fontId="9" fillId="0" borderId="0" xfId="0" applyFont="1"/>
    <xf numFmtId="0" fontId="6" fillId="7" borderId="0" xfId="0" applyFont="1" applyFill="1"/>
    <xf numFmtId="167" fontId="13" fillId="0" borderId="0" xfId="0" applyNumberFormat="1" applyFont="1"/>
    <xf numFmtId="168" fontId="13" fillId="0" borderId="0" xfId="0" applyNumberFormat="1" applyFont="1"/>
    <xf numFmtId="166" fontId="6" fillId="0" borderId="0" xfId="0" applyNumberFormat="1" applyFont="1"/>
    <xf numFmtId="166" fontId="13" fillId="0" borderId="0" xfId="0" applyNumberFormat="1" applyFont="1"/>
    <xf numFmtId="166" fontId="7" fillId="0" borderId="0" xfId="0" applyNumberFormat="1" applyFont="1"/>
    <xf numFmtId="165" fontId="13" fillId="0" borderId="0" xfId="0" applyNumberFormat="1" applyFont="1"/>
    <xf numFmtId="164" fontId="13" fillId="0" borderId="0" xfId="0" applyNumberFormat="1" applyFont="1"/>
    <xf numFmtId="2" fontId="13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164" fontId="6" fillId="7" borderId="0" xfId="0" applyNumberFormat="1" applyFont="1" applyFill="1"/>
    <xf numFmtId="0" fontId="0" fillId="7" borderId="0" xfId="0" applyFill="1"/>
    <xf numFmtId="165" fontId="13" fillId="4" borderId="0" xfId="0" applyNumberFormat="1" applyFont="1" applyFill="1"/>
    <xf numFmtId="165" fontId="13" fillId="5" borderId="0" xfId="0" applyNumberFormat="1" applyFont="1" applyFill="1"/>
    <xf numFmtId="165" fontId="13" fillId="6" borderId="0" xfId="0" applyNumberFormat="1" applyFont="1" applyFill="1"/>
    <xf numFmtId="0" fontId="6" fillId="3" borderId="0" xfId="0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166" fontId="7" fillId="4" borderId="0" xfId="0" applyNumberFormat="1" applyFont="1" applyFill="1"/>
    <xf numFmtId="166" fontId="7" fillId="5" borderId="0" xfId="0" applyNumberFormat="1" applyFont="1" applyFill="1"/>
    <xf numFmtId="166" fontId="7" fillId="6" borderId="0" xfId="0" applyNumberFormat="1" applyFont="1" applyFill="1"/>
    <xf numFmtId="0" fontId="15" fillId="4" borderId="0" xfId="0" applyFont="1" applyFill="1"/>
    <xf numFmtId="0" fontId="0" fillId="4" borderId="0" xfId="0" applyFill="1"/>
    <xf numFmtId="166" fontId="8" fillId="0" borderId="0" xfId="0" applyNumberFormat="1" applyFont="1"/>
    <xf numFmtId="166" fontId="6" fillId="7" borderId="0" xfId="0" applyNumberFormat="1" applyFont="1" applyFill="1"/>
    <xf numFmtId="0" fontId="15" fillId="5" borderId="0" xfId="0" applyFont="1" applyFill="1"/>
    <xf numFmtId="0" fontId="0" fillId="5" borderId="0" xfId="0" applyFill="1"/>
    <xf numFmtId="0" fontId="15" fillId="6" borderId="0" xfId="0" applyFont="1" applyFill="1"/>
    <xf numFmtId="0" fontId="0" fillId="6" borderId="0" xfId="0" applyFill="1"/>
    <xf numFmtId="164" fontId="8" fillId="0" borderId="0" xfId="0" applyNumberFormat="1" applyFont="1"/>
    <xf numFmtId="2" fontId="8" fillId="0" borderId="0" xfId="0" applyNumberFormat="1" applyFont="1"/>
    <xf numFmtId="164" fontId="9" fillId="7" borderId="0" xfId="0" applyNumberFormat="1" applyFont="1" applyFill="1"/>
    <xf numFmtId="165" fontId="8" fillId="0" borderId="0" xfId="0" applyNumberFormat="1" applyFont="1"/>
    <xf numFmtId="168" fontId="8" fillId="0" borderId="0" xfId="0" applyNumberFormat="1" applyFont="1"/>
    <xf numFmtId="167" fontId="6" fillId="7" borderId="0" xfId="0" applyNumberFormat="1" applyFont="1" applyFill="1"/>
    <xf numFmtId="167" fontId="8" fillId="0" borderId="0" xfId="0" applyNumberFormat="1" applyFont="1"/>
    <xf numFmtId="165" fontId="6" fillId="7" borderId="0" xfId="0" applyNumberFormat="1" applyFont="1" applyFill="1"/>
    <xf numFmtId="0" fontId="6" fillId="3" borderId="0" xfId="0" applyFont="1" applyFill="1"/>
    <xf numFmtId="165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/>
    <xf numFmtId="167" fontId="7" fillId="0" borderId="0" xfId="0" applyNumberFormat="1" applyFont="1"/>
    <xf numFmtId="167" fontId="7" fillId="7" borderId="0" xfId="0" applyNumberFormat="1" applyFont="1" applyFill="1"/>
    <xf numFmtId="165" fontId="6" fillId="0" borderId="0" xfId="0" applyNumberFormat="1" applyFont="1"/>
    <xf numFmtId="165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27"/>
  <sheetViews>
    <sheetView showGridLines="0" tabSelected="1" zoomScaleNormal="100" workbookViewId="0">
      <selection activeCell="A2" sqref="A2:F2"/>
    </sheetView>
  </sheetViews>
  <sheetFormatPr defaultColWidth="8.6640625" defaultRowHeight="14.4" x14ac:dyDescent="0.3"/>
  <cols>
    <col min="1" max="1" width="28" customWidth="1"/>
    <col min="2" max="4" width="16" customWidth="1"/>
    <col min="5" max="5" width="4" customWidth="1"/>
    <col min="6" max="6" width="60" customWidth="1"/>
  </cols>
  <sheetData>
    <row r="1" spans="1:6" ht="21.75" customHeight="1" x14ac:dyDescent="0.4">
      <c r="A1" s="6" t="s">
        <v>185</v>
      </c>
      <c r="B1" s="6"/>
      <c r="C1" s="6"/>
      <c r="D1" s="6"/>
      <c r="F1" s="7"/>
    </row>
    <row r="2" spans="1:6" ht="15" customHeight="1" x14ac:dyDescent="0.3">
      <c r="A2" s="5" t="s">
        <v>0</v>
      </c>
      <c r="B2" s="5"/>
      <c r="C2" s="5"/>
      <c r="D2" s="5"/>
      <c r="E2" s="5"/>
      <c r="F2" s="5"/>
    </row>
    <row r="3" spans="1:6" ht="15" customHeight="1" x14ac:dyDescent="0.3">
      <c r="A3" s="4" t="s">
        <v>1</v>
      </c>
      <c r="B3" s="4"/>
      <c r="C3" s="4"/>
      <c r="D3" s="4"/>
      <c r="E3" s="4"/>
      <c r="F3" s="4"/>
    </row>
    <row r="5" spans="1:6" ht="15" customHeight="1" x14ac:dyDescent="0.3">
      <c r="A5" s="3" t="s">
        <v>2</v>
      </c>
      <c r="B5" s="3"/>
      <c r="C5" s="3"/>
      <c r="D5" s="3"/>
    </row>
    <row r="6" spans="1:6" ht="15" customHeight="1" x14ac:dyDescent="0.3">
      <c r="A6" s="10" t="s">
        <v>3</v>
      </c>
      <c r="B6" s="11" t="s">
        <v>4</v>
      </c>
      <c r="C6" s="12" t="s">
        <v>5</v>
      </c>
      <c r="D6" s="13" t="s">
        <v>6</v>
      </c>
    </row>
    <row r="7" spans="1:6" ht="15" customHeight="1" x14ac:dyDescent="0.3">
      <c r="A7" s="14" t="s">
        <v>7</v>
      </c>
      <c r="B7" s="15">
        <f>DCF!$B$69</f>
        <v>0.15844056045516469</v>
      </c>
      <c r="C7" s="16">
        <f>DCF!$B$69</f>
        <v>0.15844056045516469</v>
      </c>
      <c r="D7" s="17">
        <f>DCF!$B$69</f>
        <v>0.15844056045516469</v>
      </c>
    </row>
    <row r="8" spans="1:6" ht="15" customHeight="1" x14ac:dyDescent="0.3">
      <c r="A8" s="14" t="s">
        <v>8</v>
      </c>
      <c r="B8" s="18">
        <f>DCF!B74</f>
        <v>0.04</v>
      </c>
      <c r="C8" s="19">
        <f>DCF!C74</f>
        <v>0.05</v>
      </c>
      <c r="D8" s="20">
        <f>DCF!D74</f>
        <v>0.06</v>
      </c>
    </row>
    <row r="9" spans="1:6" ht="15" customHeight="1" x14ac:dyDescent="0.3">
      <c r="A9" s="14" t="s">
        <v>9</v>
      </c>
      <c r="B9" s="21">
        <f>DCF!B78</f>
        <v>8019.8847925043956</v>
      </c>
      <c r="C9" s="22">
        <f>DCF!C78</f>
        <v>41164.724252763859</v>
      </c>
      <c r="D9" s="23">
        <f>DCF!D78</f>
        <v>125007.60149344453</v>
      </c>
    </row>
    <row r="10" spans="1:6" ht="15" customHeight="1" x14ac:dyDescent="0.3">
      <c r="A10" s="14" t="s">
        <v>10</v>
      </c>
      <c r="B10" s="21">
        <f>DCF!B80</f>
        <v>9542.8847925043956</v>
      </c>
      <c r="C10" s="22">
        <f>DCF!C80</f>
        <v>42687.724252763859</v>
      </c>
      <c r="D10" s="23">
        <f>DCF!D80</f>
        <v>126530.60149344453</v>
      </c>
    </row>
    <row r="11" spans="1:6" ht="15" customHeight="1" x14ac:dyDescent="0.3">
      <c r="A11" s="10" t="s">
        <v>11</v>
      </c>
      <c r="B11" s="24">
        <f>DCF!B82</f>
        <v>9.9095376869204514</v>
      </c>
      <c r="C11" s="24">
        <f>DCF!C82</f>
        <v>44.327854883451565</v>
      </c>
      <c r="D11" s="24">
        <f>DCF!D82</f>
        <v>131.39210954667138</v>
      </c>
    </row>
    <row r="12" spans="1:6" ht="15" customHeight="1" x14ac:dyDescent="0.3">
      <c r="A12" s="14" t="s">
        <v>12</v>
      </c>
      <c r="B12" s="25">
        <f>DCF!B83</f>
        <v>286.60000000000002</v>
      </c>
      <c r="C12" s="26">
        <f>DCF!C83</f>
        <v>286.60000000000002</v>
      </c>
      <c r="D12" s="27">
        <f>DCF!D83</f>
        <v>286.60000000000002</v>
      </c>
    </row>
    <row r="13" spans="1:6" ht="15" customHeight="1" x14ac:dyDescent="0.3">
      <c r="A13" s="10" t="s">
        <v>13</v>
      </c>
      <c r="B13" s="28">
        <f>DCF!B84</f>
        <v>-0.9654238043024409</v>
      </c>
      <c r="C13" s="28">
        <f>DCF!C84</f>
        <v>-0.84533197877372102</v>
      </c>
      <c r="D13" s="28">
        <f>DCF!D84</f>
        <v>-0.54154881525934617</v>
      </c>
    </row>
    <row r="15" spans="1:6" ht="15" customHeight="1" x14ac:dyDescent="0.3">
      <c r="A15" s="3" t="s">
        <v>14</v>
      </c>
      <c r="B15" s="3"/>
      <c r="C15" s="3"/>
      <c r="D15" s="3"/>
      <c r="E15" s="3"/>
      <c r="F15" s="3"/>
    </row>
    <row r="16" spans="1:6" ht="27.75" customHeight="1" x14ac:dyDescent="0.3">
      <c r="A16" s="2" t="s">
        <v>15</v>
      </c>
      <c r="B16" s="2"/>
      <c r="C16" s="2"/>
      <c r="D16" s="2"/>
      <c r="E16" s="2"/>
      <c r="F16" s="2"/>
    </row>
    <row r="17" spans="1:6" ht="27.75" customHeight="1" x14ac:dyDescent="0.3">
      <c r="A17" s="2" t="s">
        <v>16</v>
      </c>
      <c r="B17" s="2"/>
      <c r="C17" s="2"/>
      <c r="D17" s="2"/>
      <c r="E17" s="2"/>
      <c r="F17" s="2"/>
    </row>
    <row r="18" spans="1:6" ht="27.75" customHeight="1" x14ac:dyDescent="0.3">
      <c r="A18" s="2" t="s">
        <v>17</v>
      </c>
      <c r="B18" s="2"/>
      <c r="C18" s="2"/>
      <c r="D18" s="2"/>
      <c r="E18" s="2"/>
      <c r="F18" s="2"/>
    </row>
    <row r="19" spans="1:6" ht="27.75" customHeight="1" x14ac:dyDescent="0.3">
      <c r="A19" s="2" t="s">
        <v>18</v>
      </c>
      <c r="B19" s="2"/>
      <c r="C19" s="2"/>
      <c r="D19" s="2"/>
      <c r="E19" s="2"/>
      <c r="F19" s="2"/>
    </row>
    <row r="20" spans="1:6" ht="27.75" customHeight="1" x14ac:dyDescent="0.3">
      <c r="A20" s="2" t="s">
        <v>19</v>
      </c>
      <c r="B20" s="2"/>
      <c r="C20" s="2"/>
      <c r="D20" s="2"/>
      <c r="E20" s="2"/>
      <c r="F20" s="2"/>
    </row>
    <row r="21" spans="1:6" ht="27.75" customHeight="1" x14ac:dyDescent="0.3">
      <c r="A21" s="2" t="s">
        <v>20</v>
      </c>
      <c r="B21" s="2"/>
      <c r="C21" s="2"/>
      <c r="D21" s="2"/>
      <c r="E21" s="2"/>
      <c r="F21" s="2"/>
    </row>
    <row r="23" spans="1:6" ht="15" customHeight="1" x14ac:dyDescent="0.3">
      <c r="A23" s="3" t="s">
        <v>21</v>
      </c>
      <c r="B23" s="3"/>
      <c r="C23" s="3"/>
      <c r="D23" s="3"/>
      <c r="E23" s="3"/>
      <c r="F23" s="3"/>
    </row>
    <row r="24" spans="1:6" ht="15" customHeight="1" x14ac:dyDescent="0.3">
      <c r="A24" s="29" t="s">
        <v>22</v>
      </c>
      <c r="B24" s="2" t="s">
        <v>23</v>
      </c>
      <c r="C24" s="2"/>
      <c r="D24" s="2"/>
      <c r="E24" s="2"/>
      <c r="F24" s="2"/>
    </row>
    <row r="25" spans="1:6" ht="15" customHeight="1" x14ac:dyDescent="0.3">
      <c r="A25" s="10" t="s">
        <v>24</v>
      </c>
      <c r="B25" s="2" t="s">
        <v>25</v>
      </c>
      <c r="C25" s="2"/>
      <c r="D25" s="2"/>
      <c r="E25" s="2"/>
      <c r="F25" s="2"/>
    </row>
    <row r="26" spans="1:6" ht="15" customHeight="1" x14ac:dyDescent="0.3">
      <c r="A26" s="30" t="s">
        <v>26</v>
      </c>
      <c r="B26" s="2" t="s">
        <v>27</v>
      </c>
      <c r="C26" s="2"/>
      <c r="D26" s="2"/>
      <c r="E26" s="2"/>
      <c r="F26" s="2"/>
    </row>
    <row r="27" spans="1:6" ht="15" customHeight="1" x14ac:dyDescent="0.3">
      <c r="A27" s="31" t="s">
        <v>28</v>
      </c>
      <c r="B27" s="2" t="s">
        <v>29</v>
      </c>
      <c r="C27" s="2"/>
      <c r="D27" s="2"/>
      <c r="E27" s="2"/>
      <c r="F27" s="2"/>
    </row>
  </sheetData>
  <mergeCells count="16">
    <mergeCell ref="B27:F27"/>
    <mergeCell ref="A21:F21"/>
    <mergeCell ref="A23:F23"/>
    <mergeCell ref="B24:F24"/>
    <mergeCell ref="B25:F25"/>
    <mergeCell ref="B26:F26"/>
    <mergeCell ref="A16:F16"/>
    <mergeCell ref="A17:F17"/>
    <mergeCell ref="A18:F18"/>
    <mergeCell ref="A19:F19"/>
    <mergeCell ref="A20:F20"/>
    <mergeCell ref="A1:D1"/>
    <mergeCell ref="A2:F2"/>
    <mergeCell ref="A3:F3"/>
    <mergeCell ref="A5:D5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5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42" customWidth="1"/>
    <col min="2" max="4" width="14" customWidth="1"/>
    <col min="5" max="5" width="70" customWidth="1"/>
  </cols>
  <sheetData>
    <row r="1" spans="1:5" ht="17.25" customHeight="1" x14ac:dyDescent="0.3">
      <c r="A1" s="1" t="s">
        <v>30</v>
      </c>
      <c r="B1" s="1"/>
      <c r="C1" s="1"/>
      <c r="D1" s="1"/>
      <c r="E1" s="1"/>
    </row>
    <row r="2" spans="1:5" ht="15" customHeight="1" x14ac:dyDescent="0.3">
      <c r="A2" s="4" t="s">
        <v>31</v>
      </c>
      <c r="B2" s="4"/>
      <c r="C2" s="4"/>
      <c r="D2" s="4"/>
      <c r="E2" s="4"/>
    </row>
    <row r="4" spans="1:5" ht="15" customHeight="1" x14ac:dyDescent="0.3">
      <c r="A4" s="3" t="s">
        <v>32</v>
      </c>
      <c r="B4" s="3"/>
      <c r="C4" s="3"/>
      <c r="D4" s="3"/>
      <c r="E4" s="3"/>
    </row>
    <row r="5" spans="1:5" ht="15" customHeight="1" x14ac:dyDescent="0.3">
      <c r="A5" s="14" t="s">
        <v>12</v>
      </c>
      <c r="B5" s="32">
        <v>286.60000000000002</v>
      </c>
      <c r="E5" s="9" t="s">
        <v>33</v>
      </c>
    </row>
    <row r="6" spans="1:5" ht="15" customHeight="1" x14ac:dyDescent="0.3">
      <c r="A6" s="14" t="s">
        <v>34</v>
      </c>
      <c r="B6" s="33">
        <v>963</v>
      </c>
      <c r="E6" s="9" t="s">
        <v>35</v>
      </c>
    </row>
    <row r="7" spans="1:5" ht="15" customHeight="1" x14ac:dyDescent="0.3">
      <c r="A7" s="10" t="s">
        <v>36</v>
      </c>
      <c r="B7" s="34">
        <f>B5*B6</f>
        <v>275995.80000000005</v>
      </c>
      <c r="E7" s="9" t="s">
        <v>37</v>
      </c>
    </row>
    <row r="9" spans="1:5" ht="15" customHeight="1" x14ac:dyDescent="0.3">
      <c r="A9" s="3" t="s">
        <v>38</v>
      </c>
      <c r="B9" s="3"/>
      <c r="C9" s="3"/>
      <c r="D9" s="3"/>
      <c r="E9" s="3"/>
    </row>
    <row r="10" spans="1:5" ht="15" customHeight="1" x14ac:dyDescent="0.3">
      <c r="A10" s="14" t="s">
        <v>39</v>
      </c>
      <c r="B10" s="35">
        <v>7221</v>
      </c>
      <c r="E10" s="9" t="s">
        <v>40</v>
      </c>
    </row>
    <row r="11" spans="1:5" ht="15" customHeight="1" x14ac:dyDescent="0.3">
      <c r="A11" s="14" t="s">
        <v>41</v>
      </c>
      <c r="B11" s="35">
        <v>1523</v>
      </c>
      <c r="E11" s="9" t="s">
        <v>42</v>
      </c>
    </row>
    <row r="13" spans="1:5" ht="15" customHeight="1" x14ac:dyDescent="0.3">
      <c r="A13" s="3" t="s">
        <v>43</v>
      </c>
      <c r="B13" s="3"/>
      <c r="C13" s="3"/>
      <c r="D13" s="3"/>
      <c r="E13" s="3"/>
    </row>
    <row r="14" spans="1:5" ht="15" customHeight="1" x14ac:dyDescent="0.3">
      <c r="A14" s="10" t="s">
        <v>44</v>
      </c>
      <c r="B14" s="10" t="s">
        <v>45</v>
      </c>
      <c r="C14" s="10" t="s">
        <v>46</v>
      </c>
      <c r="E14" s="10" t="s">
        <v>47</v>
      </c>
    </row>
    <row r="15" spans="1:5" ht="15" customHeight="1" x14ac:dyDescent="0.3">
      <c r="A15" s="14" t="s">
        <v>48</v>
      </c>
      <c r="B15" s="35">
        <v>20243</v>
      </c>
      <c r="C15" s="35">
        <v>54364</v>
      </c>
      <c r="E15" s="9" t="s">
        <v>49</v>
      </c>
    </row>
    <row r="16" spans="1:5" ht="15" customHeight="1" x14ac:dyDescent="0.3">
      <c r="A16" s="14" t="s">
        <v>50</v>
      </c>
      <c r="B16" s="35">
        <v>648</v>
      </c>
      <c r="C16" s="35">
        <v>1208</v>
      </c>
      <c r="E16" s="9" t="s">
        <v>51</v>
      </c>
    </row>
    <row r="17" spans="1:5" ht="15" customHeight="1" x14ac:dyDescent="0.3">
      <c r="A17" s="14" t="s">
        <v>52</v>
      </c>
      <c r="B17" s="36">
        <f>B16-B18</f>
        <v>-215</v>
      </c>
      <c r="C17" s="36">
        <f>C16-C18</f>
        <v>-389</v>
      </c>
      <c r="E17" s="9" t="s">
        <v>53</v>
      </c>
    </row>
    <row r="18" spans="1:5" ht="15" customHeight="1" x14ac:dyDescent="0.3">
      <c r="A18" s="14" t="s">
        <v>54</v>
      </c>
      <c r="B18" s="35">
        <v>863</v>
      </c>
      <c r="C18" s="35">
        <v>1597</v>
      </c>
      <c r="E18" s="9" t="s">
        <v>55</v>
      </c>
    </row>
    <row r="19" spans="1:5" ht="15" customHeight="1" x14ac:dyDescent="0.3">
      <c r="A19" s="14" t="s">
        <v>56</v>
      </c>
      <c r="B19" s="35">
        <v>931</v>
      </c>
      <c r="C19" s="35">
        <v>1746</v>
      </c>
      <c r="E19" s="9" t="s">
        <v>57</v>
      </c>
    </row>
    <row r="20" spans="1:5" ht="15" customHeight="1" x14ac:dyDescent="0.3">
      <c r="A20" s="14" t="s">
        <v>58</v>
      </c>
      <c r="B20" s="35">
        <v>1135</v>
      </c>
      <c r="C20" s="35">
        <v>5994</v>
      </c>
      <c r="E20" s="9" t="s">
        <v>59</v>
      </c>
    </row>
    <row r="21" spans="1:5" ht="15" customHeight="1" x14ac:dyDescent="0.3">
      <c r="A21" s="14" t="s">
        <v>60</v>
      </c>
      <c r="B21" s="37">
        <v>0.24</v>
      </c>
      <c r="C21" s="37">
        <v>0.4</v>
      </c>
      <c r="E21" s="9" t="s">
        <v>61</v>
      </c>
    </row>
    <row r="22" spans="1:5" ht="15" customHeight="1" x14ac:dyDescent="0.3">
      <c r="A22" s="14" t="s">
        <v>62</v>
      </c>
      <c r="B22" s="35">
        <v>154</v>
      </c>
      <c r="C22" s="35">
        <v>392</v>
      </c>
      <c r="E22" s="9" t="s">
        <v>63</v>
      </c>
    </row>
    <row r="23" spans="1:5" ht="15" customHeight="1" x14ac:dyDescent="0.3">
      <c r="A23" s="14" t="s">
        <v>64</v>
      </c>
      <c r="B23" s="35">
        <v>2045</v>
      </c>
      <c r="C23" s="35">
        <v>4592</v>
      </c>
      <c r="E23" s="9" t="s">
        <v>65</v>
      </c>
    </row>
    <row r="25" spans="1:5" ht="15" customHeight="1" x14ac:dyDescent="0.3">
      <c r="A25" s="3" t="s">
        <v>66</v>
      </c>
      <c r="B25" s="3"/>
      <c r="C25" s="3"/>
      <c r="D25" s="3"/>
      <c r="E25" s="3"/>
    </row>
    <row r="26" spans="1:5" ht="15" customHeight="1" x14ac:dyDescent="0.3">
      <c r="A26" s="14" t="s">
        <v>67</v>
      </c>
      <c r="B26" s="38">
        <v>6.7500000000000004E-2</v>
      </c>
      <c r="E26" s="9" t="s">
        <v>68</v>
      </c>
    </row>
    <row r="27" spans="1:5" ht="15" customHeight="1" x14ac:dyDescent="0.3">
      <c r="A27" s="14" t="s">
        <v>69</v>
      </c>
      <c r="B27" s="38">
        <v>7.3099999999999998E-2</v>
      </c>
      <c r="E27" s="9" t="s">
        <v>70</v>
      </c>
    </row>
    <row r="28" spans="1:5" ht="15" customHeight="1" x14ac:dyDescent="0.3">
      <c r="A28" s="14" t="s">
        <v>71</v>
      </c>
      <c r="B28" s="39">
        <v>1.26</v>
      </c>
      <c r="E28" s="9" t="s">
        <v>72</v>
      </c>
    </row>
    <row r="29" spans="1:5" ht="15" customHeight="1" x14ac:dyDescent="0.3">
      <c r="A29" s="10" t="s">
        <v>73</v>
      </c>
      <c r="B29" s="40">
        <f>B26+B28*B27</f>
        <v>0.159606</v>
      </c>
    </row>
    <row r="30" spans="1:5" ht="15" customHeight="1" x14ac:dyDescent="0.3">
      <c r="A30" s="14" t="s">
        <v>74</v>
      </c>
      <c r="B30" s="36">
        <f>C22</f>
        <v>392</v>
      </c>
    </row>
    <row r="31" spans="1:5" ht="15" customHeight="1" x14ac:dyDescent="0.3">
      <c r="A31" s="14" t="s">
        <v>75</v>
      </c>
      <c r="B31" s="36">
        <f>AVERAGE(B23:C23)</f>
        <v>3318.5</v>
      </c>
    </row>
    <row r="32" spans="1:5" ht="15" customHeight="1" x14ac:dyDescent="0.3">
      <c r="A32" s="14" t="s">
        <v>76</v>
      </c>
      <c r="B32" s="41">
        <f>B30/B31</f>
        <v>0.11812565918336598</v>
      </c>
      <c r="E32" s="9" t="s">
        <v>77</v>
      </c>
    </row>
    <row r="33" spans="1:5" ht="15" customHeight="1" x14ac:dyDescent="0.3">
      <c r="A33" s="14" t="s">
        <v>78</v>
      </c>
      <c r="B33" s="38">
        <v>0.25169999999999998</v>
      </c>
      <c r="E33" s="9" t="s">
        <v>79</v>
      </c>
    </row>
    <row r="34" spans="1:5" ht="15" customHeight="1" x14ac:dyDescent="0.3">
      <c r="A34" s="10" t="s">
        <v>80</v>
      </c>
      <c r="B34" s="40">
        <f>B32*(1-B33)</f>
        <v>8.8393430766912764E-2</v>
      </c>
    </row>
    <row r="35" spans="1:5" ht="15" customHeight="1" x14ac:dyDescent="0.3">
      <c r="A35" s="14" t="s">
        <v>81</v>
      </c>
      <c r="B35" s="36">
        <f>C23</f>
        <v>4592</v>
      </c>
    </row>
    <row r="36" spans="1:5" ht="15" customHeight="1" x14ac:dyDescent="0.3">
      <c r="A36" s="14" t="s">
        <v>82</v>
      </c>
      <c r="B36" s="36">
        <f>B7</f>
        <v>275995.80000000005</v>
      </c>
    </row>
    <row r="37" spans="1:5" ht="15" customHeight="1" x14ac:dyDescent="0.3">
      <c r="A37" s="14" t="s">
        <v>83</v>
      </c>
      <c r="B37" s="41">
        <f>B35/(B35+B36)</f>
        <v>1.6365643837686454E-2</v>
      </c>
    </row>
    <row r="38" spans="1:5" ht="15" customHeight="1" x14ac:dyDescent="0.3">
      <c r="A38" s="14" t="s">
        <v>84</v>
      </c>
      <c r="B38" s="41">
        <f>B36/(B35+B36)</f>
        <v>0.98363435616231354</v>
      </c>
    </row>
    <row r="39" spans="1:5" ht="15" customHeight="1" x14ac:dyDescent="0.3">
      <c r="A39" s="31" t="s">
        <v>7</v>
      </c>
      <c r="B39" s="42">
        <f>B38*B29+B37*B34</f>
        <v>0.15844056045516469</v>
      </c>
      <c r="C39" s="43"/>
      <c r="D39" s="43"/>
      <c r="E39" s="43"/>
    </row>
    <row r="41" spans="1:5" ht="15" customHeight="1" x14ac:dyDescent="0.3">
      <c r="A41" s="3" t="s">
        <v>85</v>
      </c>
      <c r="B41" s="3"/>
      <c r="C41" s="3"/>
      <c r="D41" s="3"/>
      <c r="E41" s="3"/>
    </row>
    <row r="42" spans="1:5" ht="15" customHeight="1" x14ac:dyDescent="0.3">
      <c r="A42" s="10" t="s">
        <v>86</v>
      </c>
      <c r="B42" s="11" t="s">
        <v>4</v>
      </c>
      <c r="C42" s="12" t="s">
        <v>5</v>
      </c>
      <c r="D42" s="13" t="s">
        <v>6</v>
      </c>
      <c r="E42" s="10" t="s">
        <v>87</v>
      </c>
    </row>
    <row r="43" spans="1:5" ht="15" customHeight="1" x14ac:dyDescent="0.3">
      <c r="A43" s="14" t="s">
        <v>88</v>
      </c>
      <c r="B43" s="44">
        <v>0.1</v>
      </c>
      <c r="C43" s="45">
        <v>0.18</v>
      </c>
      <c r="D43" s="46">
        <v>0.28000000000000003</v>
      </c>
      <c r="E43" s="9" t="s">
        <v>89</v>
      </c>
    </row>
    <row r="44" spans="1:5" ht="15" customHeight="1" x14ac:dyDescent="0.3">
      <c r="A44" s="14" t="s">
        <v>90</v>
      </c>
      <c r="B44" s="44">
        <v>0.06</v>
      </c>
      <c r="C44" s="45">
        <v>0.1</v>
      </c>
      <c r="D44" s="46">
        <v>0.14000000000000001</v>
      </c>
      <c r="E44" s="9" t="s">
        <v>91</v>
      </c>
    </row>
    <row r="45" spans="1:5" ht="15" customHeight="1" x14ac:dyDescent="0.3">
      <c r="A45" s="14" t="s">
        <v>92</v>
      </c>
      <c r="B45" s="44">
        <v>0.03</v>
      </c>
      <c r="C45" s="45">
        <v>0.04</v>
      </c>
      <c r="D45" s="46">
        <v>0.05</v>
      </c>
      <c r="E45" s="9" t="s">
        <v>93</v>
      </c>
    </row>
    <row r="46" spans="1:5" ht="15" customHeight="1" x14ac:dyDescent="0.3">
      <c r="A46" s="14" t="s">
        <v>94</v>
      </c>
      <c r="B46" s="44">
        <v>7.0000000000000007E-2</v>
      </c>
      <c r="C46" s="45">
        <v>0.11</v>
      </c>
      <c r="D46" s="46">
        <v>0.15</v>
      </c>
      <c r="E46" s="9" t="s">
        <v>95</v>
      </c>
    </row>
    <row r="47" spans="1:5" ht="15" customHeight="1" x14ac:dyDescent="0.3">
      <c r="A47" s="14" t="s">
        <v>96</v>
      </c>
      <c r="B47" s="44">
        <v>3.5000000000000003E-2</v>
      </c>
      <c r="C47" s="45">
        <v>0.03</v>
      </c>
      <c r="D47" s="46">
        <v>2.5000000000000001E-2</v>
      </c>
      <c r="E47" s="9" t="s">
        <v>97</v>
      </c>
    </row>
    <row r="48" spans="1:5" ht="15" customHeight="1" x14ac:dyDescent="0.3">
      <c r="A48" s="14" t="s">
        <v>98</v>
      </c>
      <c r="B48" s="44">
        <v>0.03</v>
      </c>
      <c r="C48" s="45">
        <v>2.5000000000000001E-2</v>
      </c>
      <c r="D48" s="46">
        <v>0.02</v>
      </c>
      <c r="E48" s="9" t="s">
        <v>99</v>
      </c>
    </row>
    <row r="49" spans="1:5" ht="15" customHeight="1" x14ac:dyDescent="0.3">
      <c r="A49" s="14" t="s">
        <v>100</v>
      </c>
      <c r="B49" s="44">
        <v>0.04</v>
      </c>
      <c r="C49" s="45">
        <v>3.5000000000000003E-2</v>
      </c>
      <c r="D49" s="46">
        <v>0.03</v>
      </c>
      <c r="E49" s="9" t="s">
        <v>101</v>
      </c>
    </row>
    <row r="50" spans="1:5" ht="15" customHeight="1" x14ac:dyDescent="0.3">
      <c r="A50" s="14" t="s">
        <v>102</v>
      </c>
      <c r="B50" s="44">
        <v>0.03</v>
      </c>
      <c r="C50" s="45">
        <v>2.5000000000000001E-2</v>
      </c>
      <c r="D50" s="46">
        <v>0.02</v>
      </c>
      <c r="E50" s="9" t="s">
        <v>103</v>
      </c>
    </row>
    <row r="51" spans="1:5" ht="15" customHeight="1" x14ac:dyDescent="0.3">
      <c r="A51" s="14" t="s">
        <v>104</v>
      </c>
      <c r="B51" s="44">
        <v>0.05</v>
      </c>
      <c r="C51" s="45">
        <v>0.04</v>
      </c>
      <c r="D51" s="46">
        <v>0.03</v>
      </c>
      <c r="E51" s="9" t="s">
        <v>105</v>
      </c>
    </row>
    <row r="52" spans="1:5" ht="15" customHeight="1" x14ac:dyDescent="0.3">
      <c r="A52" s="14" t="s">
        <v>106</v>
      </c>
      <c r="B52" s="44">
        <v>0.04</v>
      </c>
      <c r="C52" s="45">
        <v>0.05</v>
      </c>
      <c r="D52" s="46">
        <v>0.06</v>
      </c>
      <c r="E52" s="9" t="s">
        <v>107</v>
      </c>
    </row>
    <row r="54" spans="1:5" ht="15" customHeight="1" x14ac:dyDescent="0.3">
      <c r="A54" s="3" t="s">
        <v>108</v>
      </c>
      <c r="B54" s="3"/>
      <c r="C54" s="3"/>
      <c r="D54" s="3"/>
      <c r="E54" s="3"/>
    </row>
    <row r="55" spans="1:5" ht="15" customHeight="1" x14ac:dyDescent="0.3">
      <c r="A55" s="29" t="s">
        <v>22</v>
      </c>
      <c r="B55" s="2" t="s">
        <v>109</v>
      </c>
      <c r="C55" s="2"/>
      <c r="D55" s="2"/>
      <c r="E55" s="2"/>
    </row>
    <row r="56" spans="1:5" ht="15" customHeight="1" x14ac:dyDescent="0.3">
      <c r="A56" s="10" t="s">
        <v>24</v>
      </c>
      <c r="B56" s="2" t="s">
        <v>110</v>
      </c>
      <c r="C56" s="2"/>
      <c r="D56" s="2"/>
      <c r="E56" s="2"/>
    </row>
    <row r="57" spans="1:5" ht="15" customHeight="1" x14ac:dyDescent="0.3">
      <c r="A57" s="30" t="s">
        <v>26</v>
      </c>
      <c r="B57" s="2" t="s">
        <v>111</v>
      </c>
      <c r="C57" s="2"/>
      <c r="D57" s="2"/>
      <c r="E57" s="2"/>
    </row>
    <row r="58" spans="1:5" ht="15" customHeight="1" x14ac:dyDescent="0.3">
      <c r="A58" s="31" t="s">
        <v>28</v>
      </c>
      <c r="B58" s="2" t="s">
        <v>112</v>
      </c>
      <c r="C58" s="2"/>
      <c r="D58" s="2"/>
      <c r="E58" s="2"/>
    </row>
  </sheetData>
  <mergeCells count="12">
    <mergeCell ref="B57:E57"/>
    <mergeCell ref="B58:E58"/>
    <mergeCell ref="A25:E25"/>
    <mergeCell ref="A41:E41"/>
    <mergeCell ref="A54:E54"/>
    <mergeCell ref="B55:E55"/>
    <mergeCell ref="B56:E56"/>
    <mergeCell ref="A1:E1"/>
    <mergeCell ref="A2:E2"/>
    <mergeCell ref="A4:E4"/>
    <mergeCell ref="A9:E9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N10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40" customWidth="1"/>
    <col min="2" max="2" width="8" customWidth="1"/>
    <col min="3" max="14" width="11.44140625" customWidth="1"/>
  </cols>
  <sheetData>
    <row r="1" spans="1:14" ht="17.25" customHeight="1" x14ac:dyDescent="0.3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3">
      <c r="A2" s="4" t="s">
        <v>114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5" customHeight="1" x14ac:dyDescent="0.3">
      <c r="A4" s="10" t="s">
        <v>115</v>
      </c>
      <c r="B4" s="10" t="s">
        <v>116</v>
      </c>
      <c r="C4" s="47" t="s">
        <v>45</v>
      </c>
      <c r="D4" s="47" t="s">
        <v>46</v>
      </c>
      <c r="E4" s="47" t="s">
        <v>117</v>
      </c>
      <c r="F4" s="47" t="s">
        <v>118</v>
      </c>
      <c r="G4" s="47" t="s">
        <v>119</v>
      </c>
      <c r="H4" s="47" t="s">
        <v>120</v>
      </c>
      <c r="I4" s="47" t="s">
        <v>121</v>
      </c>
      <c r="J4" s="47" t="s">
        <v>122</v>
      </c>
      <c r="K4" s="47" t="s">
        <v>123</v>
      </c>
      <c r="L4" s="47" t="s">
        <v>124</v>
      </c>
      <c r="M4" s="47" t="s">
        <v>125</v>
      </c>
      <c r="N4" s="47" t="s">
        <v>126</v>
      </c>
    </row>
    <row r="5" spans="1:14" ht="15" customHeight="1" x14ac:dyDescent="0.3">
      <c r="A5" s="8" t="s">
        <v>127</v>
      </c>
      <c r="E5" s="48">
        <v>1</v>
      </c>
      <c r="F5" s="48">
        <v>2</v>
      </c>
      <c r="G5" s="48">
        <v>3</v>
      </c>
      <c r="H5" s="48">
        <v>4</v>
      </c>
      <c r="I5" s="48">
        <v>5</v>
      </c>
      <c r="J5" s="48">
        <v>6</v>
      </c>
      <c r="K5" s="48">
        <v>7</v>
      </c>
      <c r="L5" s="48">
        <v>8</v>
      </c>
      <c r="M5" s="48">
        <v>9</v>
      </c>
      <c r="N5" s="48">
        <v>10</v>
      </c>
    </row>
    <row r="7" spans="1:14" ht="15" customHeight="1" x14ac:dyDescent="0.3">
      <c r="A7" s="3" t="s">
        <v>128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3">
      <c r="A8" s="49" t="s">
        <v>129</v>
      </c>
    </row>
    <row r="9" spans="1:14" ht="15" customHeight="1" x14ac:dyDescent="0.3">
      <c r="A9" s="50" t="s">
        <v>130</v>
      </c>
      <c r="E9" s="18">
        <f>Assumptions!$B$43+(0)/9*(Assumptions!$B$44-Assumptions!$B$43)</f>
        <v>0.1</v>
      </c>
      <c r="F9" s="18">
        <f>Assumptions!$B$43+(1)/9*(Assumptions!$B$44-Assumptions!$B$43)</f>
        <v>9.555555555555556E-2</v>
      </c>
      <c r="G9" s="18">
        <f>Assumptions!$B$43+(2)/9*(Assumptions!$B$44-Assumptions!$B$43)</f>
        <v>9.1111111111111115E-2</v>
      </c>
      <c r="H9" s="18">
        <f>Assumptions!$B$43+(3)/9*(Assumptions!$B$44-Assumptions!$B$43)</f>
        <v>8.666666666666667E-2</v>
      </c>
      <c r="I9" s="18">
        <f>Assumptions!$B$43+(4)/9*(Assumptions!$B$44-Assumptions!$B$43)</f>
        <v>8.2222222222222224E-2</v>
      </c>
      <c r="J9" s="18">
        <f>Assumptions!$B$43+(5)/9*(Assumptions!$B$44-Assumptions!$B$43)</f>
        <v>7.7777777777777779E-2</v>
      </c>
      <c r="K9" s="18">
        <f>Assumptions!$B$43+(6)/9*(Assumptions!$B$44-Assumptions!$B$43)</f>
        <v>7.3333333333333334E-2</v>
      </c>
      <c r="L9" s="18">
        <f>Assumptions!$B$43+(7)/9*(Assumptions!$B$44-Assumptions!$B$43)</f>
        <v>6.8888888888888888E-2</v>
      </c>
      <c r="M9" s="18">
        <f>Assumptions!$B$43+(8)/9*(Assumptions!$B$44-Assumptions!$B$43)</f>
        <v>6.4444444444444443E-2</v>
      </c>
      <c r="N9" s="18">
        <f>Assumptions!$B$43+(9)/9*(Assumptions!$B$44-Assumptions!$B$43)</f>
        <v>0.06</v>
      </c>
    </row>
    <row r="10" spans="1:14" ht="15" customHeight="1" x14ac:dyDescent="0.3">
      <c r="A10" s="51" t="s">
        <v>131</v>
      </c>
      <c r="E10" s="19">
        <f>Assumptions!$C$43+(0)/9*(Assumptions!$C$44-Assumptions!$C$43)</f>
        <v>0.18</v>
      </c>
      <c r="F10" s="19">
        <f>Assumptions!$C$43+(1)/9*(Assumptions!$C$44-Assumptions!$C$43)</f>
        <v>0.1711111111111111</v>
      </c>
      <c r="G10" s="19">
        <f>Assumptions!$C$43+(2)/9*(Assumptions!$C$44-Assumptions!$C$43)</f>
        <v>0.16222222222222221</v>
      </c>
      <c r="H10" s="19">
        <f>Assumptions!$C$43+(3)/9*(Assumptions!$C$44-Assumptions!$C$43)</f>
        <v>0.15333333333333332</v>
      </c>
      <c r="I10" s="19">
        <f>Assumptions!$C$43+(4)/9*(Assumptions!$C$44-Assumptions!$C$43)</f>
        <v>0.14444444444444443</v>
      </c>
      <c r="J10" s="19">
        <f>Assumptions!$C$43+(5)/9*(Assumptions!$C$44-Assumptions!$C$43)</f>
        <v>0.13555555555555554</v>
      </c>
      <c r="K10" s="19">
        <f>Assumptions!$C$43+(6)/9*(Assumptions!$C$44-Assumptions!$C$43)</f>
        <v>0.12666666666666668</v>
      </c>
      <c r="L10" s="19">
        <f>Assumptions!$C$43+(7)/9*(Assumptions!$C$44-Assumptions!$C$43)</f>
        <v>0.11777777777777779</v>
      </c>
      <c r="M10" s="19">
        <f>Assumptions!$C$43+(8)/9*(Assumptions!$C$44-Assumptions!$C$43)</f>
        <v>0.1088888888888889</v>
      </c>
      <c r="N10" s="19">
        <f>Assumptions!$C$43+(9)/9*(Assumptions!$C$44-Assumptions!$C$43)</f>
        <v>0.1</v>
      </c>
    </row>
    <row r="11" spans="1:14" ht="15" customHeight="1" x14ac:dyDescent="0.3">
      <c r="A11" s="52" t="s">
        <v>132</v>
      </c>
      <c r="E11" s="20">
        <f>Assumptions!$D$43+(0)/9*(Assumptions!$D$44-Assumptions!$D$43)</f>
        <v>0.28000000000000003</v>
      </c>
      <c r="F11" s="20">
        <f>Assumptions!$D$43+(1)/9*(Assumptions!$D$44-Assumptions!$D$43)</f>
        <v>0.26444444444444448</v>
      </c>
      <c r="G11" s="20">
        <f>Assumptions!$D$43+(2)/9*(Assumptions!$D$44-Assumptions!$D$43)</f>
        <v>0.24888888888888891</v>
      </c>
      <c r="H11" s="20">
        <f>Assumptions!$D$43+(3)/9*(Assumptions!$D$44-Assumptions!$D$43)</f>
        <v>0.23333333333333336</v>
      </c>
      <c r="I11" s="20">
        <f>Assumptions!$D$43+(4)/9*(Assumptions!$D$44-Assumptions!$D$43)</f>
        <v>0.21777777777777779</v>
      </c>
      <c r="J11" s="20">
        <f>Assumptions!$D$43+(5)/9*(Assumptions!$D$44-Assumptions!$D$43)</f>
        <v>0.20222222222222225</v>
      </c>
      <c r="K11" s="20">
        <f>Assumptions!$D$43+(6)/9*(Assumptions!$D$44-Assumptions!$D$43)</f>
        <v>0.1866666666666667</v>
      </c>
      <c r="L11" s="20">
        <f>Assumptions!$D$43+(7)/9*(Assumptions!$D$44-Assumptions!$D$43)</f>
        <v>0.17111111111111113</v>
      </c>
      <c r="M11" s="20">
        <f>Assumptions!$D$43+(8)/9*(Assumptions!$D$44-Assumptions!$D$43)</f>
        <v>0.15555555555555556</v>
      </c>
      <c r="N11" s="20">
        <f>Assumptions!$D$43+(9)/9*(Assumptions!$D$44-Assumptions!$D$43)</f>
        <v>0.14000000000000001</v>
      </c>
    </row>
    <row r="12" spans="1:14" ht="15" customHeight="1" x14ac:dyDescent="0.3">
      <c r="A12" s="49" t="s">
        <v>133</v>
      </c>
    </row>
    <row r="13" spans="1:14" ht="15" customHeight="1" x14ac:dyDescent="0.3">
      <c r="A13" s="50" t="s">
        <v>130</v>
      </c>
      <c r="C13" s="21">
        <f>Assumptions!$B$15</f>
        <v>20243</v>
      </c>
      <c r="D13" s="21">
        <f>Assumptions!$C$15</f>
        <v>54364</v>
      </c>
      <c r="E13" s="53">
        <f t="shared" ref="E13:N13" si="0">D13*(1+E9)</f>
        <v>59800.4</v>
      </c>
      <c r="F13" s="53">
        <f t="shared" si="0"/>
        <v>65514.660444444453</v>
      </c>
      <c r="G13" s="53">
        <f t="shared" si="0"/>
        <v>71483.773951604948</v>
      </c>
      <c r="H13" s="53">
        <f t="shared" si="0"/>
        <v>77679.034360744045</v>
      </c>
      <c r="I13" s="53">
        <f t="shared" si="0"/>
        <v>84065.977185960772</v>
      </c>
      <c r="J13" s="53">
        <f t="shared" si="0"/>
        <v>90604.442078202163</v>
      </c>
      <c r="K13" s="53">
        <f t="shared" si="0"/>
        <v>97248.767830603654</v>
      </c>
      <c r="L13" s="53">
        <f t="shared" si="0"/>
        <v>103948.12739226747</v>
      </c>
      <c r="M13" s="53">
        <f t="shared" si="0"/>
        <v>110647.0067131025</v>
      </c>
      <c r="N13" s="53">
        <f t="shared" si="0"/>
        <v>117285.82711588865</v>
      </c>
    </row>
    <row r="14" spans="1:14" ht="15" customHeight="1" x14ac:dyDescent="0.3">
      <c r="A14" s="51" t="s">
        <v>131</v>
      </c>
      <c r="C14" s="22">
        <f>Assumptions!$B$15</f>
        <v>20243</v>
      </c>
      <c r="D14" s="22">
        <f>Assumptions!$C$15</f>
        <v>54364</v>
      </c>
      <c r="E14" s="54">
        <f t="shared" ref="E14:N14" si="1">D14*(1+E10)</f>
        <v>64149.52</v>
      </c>
      <c r="F14" s="54">
        <f t="shared" si="1"/>
        <v>75126.215644444441</v>
      </c>
      <c r="G14" s="54">
        <f t="shared" si="1"/>
        <v>87313.357293432098</v>
      </c>
      <c r="H14" s="54">
        <f t="shared" si="1"/>
        <v>100701.40541175836</v>
      </c>
      <c r="I14" s="54">
        <f t="shared" si="1"/>
        <v>115247.16397123456</v>
      </c>
      <c r="J14" s="54">
        <f t="shared" si="1"/>
        <v>130869.55730955745</v>
      </c>
      <c r="K14" s="54">
        <f t="shared" si="1"/>
        <v>147446.3679021014</v>
      </c>
      <c r="L14" s="54">
        <f t="shared" si="1"/>
        <v>164812.27345501556</v>
      </c>
      <c r="M14" s="54">
        <f t="shared" si="1"/>
        <v>182758.49878678389</v>
      </c>
      <c r="N14" s="54">
        <f t="shared" si="1"/>
        <v>201034.34866546231</v>
      </c>
    </row>
    <row r="15" spans="1:14" ht="15" customHeight="1" x14ac:dyDescent="0.3">
      <c r="A15" s="52" t="s">
        <v>132</v>
      </c>
      <c r="C15" s="23">
        <f>Assumptions!$B$15</f>
        <v>20243</v>
      </c>
      <c r="D15" s="23">
        <f>Assumptions!$C$15</f>
        <v>54364</v>
      </c>
      <c r="E15" s="55">
        <f t="shared" ref="E15:N15" si="2">D15*(1+E11)</f>
        <v>69585.919999999998</v>
      </c>
      <c r="F15" s="55">
        <f t="shared" si="2"/>
        <v>87987.529955555554</v>
      </c>
      <c r="G15" s="55">
        <f t="shared" si="2"/>
        <v>109886.6485222716</v>
      </c>
      <c r="H15" s="55">
        <f t="shared" si="2"/>
        <v>135526.86651080166</v>
      </c>
      <c r="I15" s="55">
        <f t="shared" si="2"/>
        <v>165041.60632870957</v>
      </c>
      <c r="J15" s="55">
        <f t="shared" si="2"/>
        <v>198416.68671962642</v>
      </c>
      <c r="K15" s="55">
        <f t="shared" si="2"/>
        <v>235454.46824062336</v>
      </c>
      <c r="L15" s="55">
        <f t="shared" si="2"/>
        <v>275743.34391735226</v>
      </c>
      <c r="M15" s="55">
        <f t="shared" si="2"/>
        <v>318636.75297116261</v>
      </c>
      <c r="N15" s="55">
        <f t="shared" si="2"/>
        <v>363245.8983871254</v>
      </c>
    </row>
    <row r="17" spans="1:14" ht="15" customHeight="1" x14ac:dyDescent="0.3">
      <c r="A17" s="3" t="s">
        <v>134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" customHeight="1" x14ac:dyDescent="0.3">
      <c r="A18" s="49" t="s">
        <v>135</v>
      </c>
    </row>
    <row r="19" spans="1:14" ht="15" customHeight="1" x14ac:dyDescent="0.3">
      <c r="A19" s="50" t="s">
        <v>130</v>
      </c>
      <c r="E19" s="18">
        <f>Assumptions!$B$45+(0)/9*(Assumptions!$B$46-Assumptions!$B$45)</f>
        <v>0.03</v>
      </c>
      <c r="F19" s="18">
        <f>Assumptions!$B$45+(1)/9*(Assumptions!$B$46-Assumptions!$B$45)</f>
        <v>3.4444444444444444E-2</v>
      </c>
      <c r="G19" s="18">
        <f>Assumptions!$B$45+(2)/9*(Assumptions!$B$46-Assumptions!$B$45)</f>
        <v>3.888888888888889E-2</v>
      </c>
      <c r="H19" s="18">
        <f>Assumptions!$B$45+(3)/9*(Assumptions!$B$46-Assumptions!$B$45)</f>
        <v>4.3333333333333335E-2</v>
      </c>
      <c r="I19" s="18">
        <f>Assumptions!$B$45+(4)/9*(Assumptions!$B$46-Assumptions!$B$45)</f>
        <v>4.777777777777778E-2</v>
      </c>
      <c r="J19" s="18">
        <f>Assumptions!$B$45+(5)/9*(Assumptions!$B$46-Assumptions!$B$45)</f>
        <v>5.2222222222222225E-2</v>
      </c>
      <c r="K19" s="18">
        <f>Assumptions!$B$45+(6)/9*(Assumptions!$B$46-Assumptions!$B$45)</f>
        <v>5.6666666666666671E-2</v>
      </c>
      <c r="L19" s="18">
        <f>Assumptions!$B$45+(7)/9*(Assumptions!$B$46-Assumptions!$B$45)</f>
        <v>6.1111111111111116E-2</v>
      </c>
      <c r="M19" s="18">
        <f>Assumptions!$B$45+(8)/9*(Assumptions!$B$46-Assumptions!$B$45)</f>
        <v>6.5555555555555561E-2</v>
      </c>
      <c r="N19" s="18">
        <f>Assumptions!$B$45+(9)/9*(Assumptions!$B$46-Assumptions!$B$45)</f>
        <v>7.0000000000000007E-2</v>
      </c>
    </row>
    <row r="20" spans="1:14" ht="15" customHeight="1" x14ac:dyDescent="0.3">
      <c r="A20" s="51" t="s">
        <v>131</v>
      </c>
      <c r="E20" s="19">
        <f>Assumptions!$C$45+(0)/9*(Assumptions!$C$46-Assumptions!$C$45)</f>
        <v>0.04</v>
      </c>
      <c r="F20" s="19">
        <f>Assumptions!$C$45+(1)/9*(Assumptions!$C$46-Assumptions!$C$45)</f>
        <v>4.777777777777778E-2</v>
      </c>
      <c r="G20" s="19">
        <f>Assumptions!$C$45+(2)/9*(Assumptions!$C$46-Assumptions!$C$45)</f>
        <v>5.5555555555555559E-2</v>
      </c>
      <c r="H20" s="19">
        <f>Assumptions!$C$45+(3)/9*(Assumptions!$C$46-Assumptions!$C$45)</f>
        <v>6.3333333333333339E-2</v>
      </c>
      <c r="I20" s="19">
        <f>Assumptions!$C$45+(4)/9*(Assumptions!$C$46-Assumptions!$C$45)</f>
        <v>7.1111111111111111E-2</v>
      </c>
      <c r="J20" s="19">
        <f>Assumptions!$C$45+(5)/9*(Assumptions!$C$46-Assumptions!$C$45)</f>
        <v>7.8888888888888897E-2</v>
      </c>
      <c r="K20" s="19">
        <f>Assumptions!$C$45+(6)/9*(Assumptions!$C$46-Assumptions!$C$45)</f>
        <v>8.666666666666667E-2</v>
      </c>
      <c r="L20" s="19">
        <f>Assumptions!$C$45+(7)/9*(Assumptions!$C$46-Assumptions!$C$45)</f>
        <v>9.4444444444444442E-2</v>
      </c>
      <c r="M20" s="19">
        <f>Assumptions!$C$45+(8)/9*(Assumptions!$C$46-Assumptions!$C$45)</f>
        <v>0.10222222222222223</v>
      </c>
      <c r="N20" s="19">
        <f>Assumptions!$C$45+(9)/9*(Assumptions!$C$46-Assumptions!$C$45)</f>
        <v>0.11000000000000001</v>
      </c>
    </row>
    <row r="21" spans="1:14" ht="15" customHeight="1" x14ac:dyDescent="0.3">
      <c r="A21" s="52" t="s">
        <v>132</v>
      </c>
      <c r="E21" s="20">
        <f>Assumptions!$D$45+(0)/9*(Assumptions!$D$46-Assumptions!$D$45)</f>
        <v>0.05</v>
      </c>
      <c r="F21" s="20">
        <f>Assumptions!$D$45+(1)/9*(Assumptions!$D$46-Assumptions!$D$45)</f>
        <v>6.1111111111111116E-2</v>
      </c>
      <c r="G21" s="20">
        <f>Assumptions!$D$45+(2)/9*(Assumptions!$D$46-Assumptions!$D$45)</f>
        <v>7.2222222222222215E-2</v>
      </c>
      <c r="H21" s="20">
        <f>Assumptions!$D$45+(3)/9*(Assumptions!$D$46-Assumptions!$D$45)</f>
        <v>8.3333333333333329E-2</v>
      </c>
      <c r="I21" s="20">
        <f>Assumptions!$D$45+(4)/9*(Assumptions!$D$46-Assumptions!$D$45)</f>
        <v>9.4444444444444442E-2</v>
      </c>
      <c r="J21" s="20">
        <f>Assumptions!$D$45+(5)/9*(Assumptions!$D$46-Assumptions!$D$45)</f>
        <v>0.10555555555555556</v>
      </c>
      <c r="K21" s="20">
        <f>Assumptions!$D$45+(6)/9*(Assumptions!$D$46-Assumptions!$D$45)</f>
        <v>0.11666666666666665</v>
      </c>
      <c r="L21" s="20">
        <f>Assumptions!$D$45+(7)/9*(Assumptions!$D$46-Assumptions!$D$45)</f>
        <v>0.12777777777777777</v>
      </c>
      <c r="M21" s="20">
        <f>Assumptions!$D$45+(8)/9*(Assumptions!$D$46-Assumptions!$D$45)</f>
        <v>0.1388888888888889</v>
      </c>
      <c r="N21" s="20">
        <f>Assumptions!$D$45+(9)/9*(Assumptions!$D$46-Assumptions!$D$45)</f>
        <v>0.15</v>
      </c>
    </row>
    <row r="22" spans="1:14" ht="15" customHeight="1" x14ac:dyDescent="0.3">
      <c r="A22" s="49" t="s">
        <v>136</v>
      </c>
    </row>
    <row r="23" spans="1:14" ht="15" customHeight="1" x14ac:dyDescent="0.3">
      <c r="A23" s="50" t="s">
        <v>130</v>
      </c>
      <c r="C23" s="21">
        <f>Assumptions!$B$16</f>
        <v>648</v>
      </c>
      <c r="D23" s="21">
        <f>Assumptions!$C$16</f>
        <v>1208</v>
      </c>
      <c r="E23" s="53">
        <f t="shared" ref="E23:N23" si="3">E13*E19</f>
        <v>1794.0119999999999</v>
      </c>
      <c r="F23" s="53">
        <f t="shared" si="3"/>
        <v>2256.616081975309</v>
      </c>
      <c r="G23" s="53">
        <f t="shared" si="3"/>
        <v>2779.9245425624149</v>
      </c>
      <c r="H23" s="53">
        <f t="shared" si="3"/>
        <v>3366.0914889655755</v>
      </c>
      <c r="I23" s="53">
        <f t="shared" si="3"/>
        <v>4016.4855766625706</v>
      </c>
      <c r="J23" s="53">
        <f t="shared" si="3"/>
        <v>4731.5653085283357</v>
      </c>
      <c r="K23" s="53">
        <f t="shared" si="3"/>
        <v>5510.7635104008741</v>
      </c>
      <c r="L23" s="53">
        <f t="shared" si="3"/>
        <v>6352.3855628607907</v>
      </c>
      <c r="M23" s="53">
        <f t="shared" si="3"/>
        <v>7253.5259956367199</v>
      </c>
      <c r="N23" s="53">
        <f t="shared" si="3"/>
        <v>8210.007898112206</v>
      </c>
    </row>
    <row r="24" spans="1:14" ht="15" customHeight="1" x14ac:dyDescent="0.3">
      <c r="A24" s="51" t="s">
        <v>131</v>
      </c>
      <c r="C24" s="22">
        <f>Assumptions!$B$16</f>
        <v>648</v>
      </c>
      <c r="D24" s="22">
        <f>Assumptions!$C$16</f>
        <v>1208</v>
      </c>
      <c r="E24" s="54">
        <f t="shared" ref="E24:N24" si="4">E14*E20</f>
        <v>2565.9807999999998</v>
      </c>
      <c r="F24" s="54">
        <f t="shared" si="4"/>
        <v>3589.363636345679</v>
      </c>
      <c r="G24" s="54">
        <f t="shared" si="4"/>
        <v>4850.7420718573394</v>
      </c>
      <c r="H24" s="54">
        <f t="shared" si="4"/>
        <v>6377.7556760780299</v>
      </c>
      <c r="I24" s="54">
        <f t="shared" si="4"/>
        <v>8195.353882398902</v>
      </c>
      <c r="J24" s="54">
        <f t="shared" si="4"/>
        <v>10324.153965531756</v>
      </c>
      <c r="K24" s="54">
        <f t="shared" si="4"/>
        <v>12778.685218182121</v>
      </c>
      <c r="L24" s="54">
        <f t="shared" si="4"/>
        <v>15565.603604084803</v>
      </c>
      <c r="M24" s="54">
        <f t="shared" si="4"/>
        <v>18681.979875982353</v>
      </c>
      <c r="N24" s="54">
        <f t="shared" si="4"/>
        <v>22113.778353200858</v>
      </c>
    </row>
    <row r="25" spans="1:14" ht="15" customHeight="1" x14ac:dyDescent="0.3">
      <c r="A25" s="52" t="s">
        <v>132</v>
      </c>
      <c r="C25" s="23">
        <f>Assumptions!$B$16</f>
        <v>648</v>
      </c>
      <c r="D25" s="23">
        <f>Assumptions!$C$16</f>
        <v>1208</v>
      </c>
      <c r="E25" s="55">
        <f t="shared" ref="E25:N25" si="5">E15*E21</f>
        <v>3479.2960000000003</v>
      </c>
      <c r="F25" s="55">
        <f t="shared" si="5"/>
        <v>5377.0157195061729</v>
      </c>
      <c r="G25" s="55">
        <f t="shared" si="5"/>
        <v>7936.2579488307256</v>
      </c>
      <c r="H25" s="55">
        <f t="shared" si="5"/>
        <v>11293.905542566805</v>
      </c>
      <c r="I25" s="55">
        <f t="shared" si="5"/>
        <v>15587.262819933681</v>
      </c>
      <c r="J25" s="55">
        <f t="shared" si="5"/>
        <v>20943.983598182789</v>
      </c>
      <c r="K25" s="55">
        <f t="shared" si="5"/>
        <v>27469.687961406056</v>
      </c>
      <c r="L25" s="55">
        <f t="shared" si="5"/>
        <v>35233.871722772783</v>
      </c>
      <c r="M25" s="55">
        <f t="shared" si="5"/>
        <v>44255.104579328145</v>
      </c>
      <c r="N25" s="55">
        <f t="shared" si="5"/>
        <v>54486.884758068809</v>
      </c>
    </row>
    <row r="27" spans="1:14" ht="15" customHeight="1" x14ac:dyDescent="0.3">
      <c r="A27" s="3" t="s">
        <v>137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" customHeight="1" x14ac:dyDescent="0.3">
      <c r="A28" s="56" t="s">
        <v>138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</row>
    <row r="29" spans="1:14" ht="15" customHeight="1" x14ac:dyDescent="0.3">
      <c r="A29" s="14" t="s">
        <v>139</v>
      </c>
      <c r="C29" s="36">
        <f t="shared" ref="C29:N29" si="6">C23</f>
        <v>648</v>
      </c>
      <c r="D29" s="36">
        <f t="shared" si="6"/>
        <v>1208</v>
      </c>
      <c r="E29" s="36">
        <f t="shared" si="6"/>
        <v>1794.0119999999999</v>
      </c>
      <c r="F29" s="36">
        <f t="shared" si="6"/>
        <v>2256.616081975309</v>
      </c>
      <c r="G29" s="36">
        <f t="shared" si="6"/>
        <v>2779.9245425624149</v>
      </c>
      <c r="H29" s="36">
        <f t="shared" si="6"/>
        <v>3366.0914889655755</v>
      </c>
      <c r="I29" s="36">
        <f t="shared" si="6"/>
        <v>4016.4855766625706</v>
      </c>
      <c r="J29" s="36">
        <f t="shared" si="6"/>
        <v>4731.5653085283357</v>
      </c>
      <c r="K29" s="36">
        <f t="shared" si="6"/>
        <v>5510.7635104008741</v>
      </c>
      <c r="L29" s="36">
        <f t="shared" si="6"/>
        <v>6352.3855628607907</v>
      </c>
      <c r="M29" s="36">
        <f t="shared" si="6"/>
        <v>7253.5259956367199</v>
      </c>
      <c r="N29" s="36">
        <f t="shared" si="6"/>
        <v>8210.007898112206</v>
      </c>
    </row>
    <row r="30" spans="1:14" ht="15" customHeight="1" x14ac:dyDescent="0.3">
      <c r="A30" s="14" t="s">
        <v>140</v>
      </c>
      <c r="C30" s="58">
        <f>Assumptions!$B$18</f>
        <v>863</v>
      </c>
      <c r="D30" s="58">
        <f>Assumptions!$C$18</f>
        <v>1597</v>
      </c>
      <c r="E30" s="58">
        <f>E13*(Assumptions!$B$47+(0)/9*(Assumptions!$B$48-Assumptions!$B$47))</f>
        <v>2093.0140000000001</v>
      </c>
      <c r="F30" s="58">
        <f>F13*(Assumptions!$B$47+(1)/9*(Assumptions!$B$48-Assumptions!$B$47))</f>
        <v>2256.616081975309</v>
      </c>
      <c r="G30" s="58">
        <f>G13*(Assumptions!$B$47+(2)/9*(Assumptions!$B$48-Assumptions!$B$47))</f>
        <v>2422.5056728043901</v>
      </c>
      <c r="H30" s="58">
        <f>H13*(Assumptions!$B$47+(3)/9*(Assumptions!$B$48-Assumptions!$B$47))</f>
        <v>2589.3011453581348</v>
      </c>
      <c r="I30" s="58">
        <f>I13*(Assumptions!$B$47+(4)/9*(Assumptions!$B$48-Assumptions!$B$47))</f>
        <v>2755.4959188731591</v>
      </c>
      <c r="J30" s="58">
        <f>J13*(Assumptions!$B$47+(5)/9*(Assumptions!$B$48-Assumptions!$B$47))</f>
        <v>2919.4764669642918</v>
      </c>
      <c r="K30" s="58">
        <f>K13*(Assumptions!$B$47+(6)/9*(Assumptions!$B$48-Assumptions!$B$47))</f>
        <v>3079.5443146357825</v>
      </c>
      <c r="L30" s="58">
        <f>L13*(Assumptions!$B$47+(7)/9*(Assumptions!$B$48-Assumptions!$B$47))</f>
        <v>3233.9417410927658</v>
      </c>
      <c r="M30" s="58">
        <f>M13*(Assumptions!$B$47+(8)/9*(Assumptions!$B$48-Assumptions!$B$47))</f>
        <v>3380.880760678132</v>
      </c>
      <c r="N30" s="58">
        <f>N13*(Assumptions!$B$47+(9)/9*(Assumptions!$B$48-Assumptions!$B$47))</f>
        <v>3518.5748134766595</v>
      </c>
    </row>
    <row r="31" spans="1:14" ht="15" customHeight="1" x14ac:dyDescent="0.3">
      <c r="A31" s="10" t="s">
        <v>141</v>
      </c>
      <c r="C31" s="34">
        <f t="shared" ref="C31:N31" si="7">C29-C30</f>
        <v>-215</v>
      </c>
      <c r="D31" s="34">
        <f t="shared" si="7"/>
        <v>-389</v>
      </c>
      <c r="E31" s="34">
        <f t="shared" si="7"/>
        <v>-299.00200000000018</v>
      </c>
      <c r="F31" s="34">
        <f t="shared" si="7"/>
        <v>0</v>
      </c>
      <c r="G31" s="34">
        <f t="shared" si="7"/>
        <v>357.41886975802481</v>
      </c>
      <c r="H31" s="34">
        <f t="shared" si="7"/>
        <v>776.79034360744072</v>
      </c>
      <c r="I31" s="34">
        <f t="shared" si="7"/>
        <v>1260.9896577894115</v>
      </c>
      <c r="J31" s="34">
        <f t="shared" si="7"/>
        <v>1812.0888415640438</v>
      </c>
      <c r="K31" s="34">
        <f t="shared" si="7"/>
        <v>2431.2191957650916</v>
      </c>
      <c r="L31" s="34">
        <f t="shared" si="7"/>
        <v>3118.4438217680249</v>
      </c>
      <c r="M31" s="34">
        <f t="shared" si="7"/>
        <v>3872.6452349585879</v>
      </c>
      <c r="N31" s="34">
        <f t="shared" si="7"/>
        <v>4691.433084635546</v>
      </c>
    </row>
    <row r="32" spans="1:14" ht="15" customHeight="1" x14ac:dyDescent="0.3">
      <c r="A32" s="14" t="s">
        <v>142</v>
      </c>
      <c r="E32" s="58">
        <f>MAX(E31,0)*Assumptions!$B$33</f>
        <v>0</v>
      </c>
      <c r="F32" s="58">
        <f>MAX(F31,0)*Assumptions!$B$33</f>
        <v>0</v>
      </c>
      <c r="G32" s="58">
        <f>MAX(G31,0)*Assumptions!$B$33</f>
        <v>89.962329518094833</v>
      </c>
      <c r="H32" s="58">
        <f>MAX(H31,0)*Assumptions!$B$33</f>
        <v>195.5181294859928</v>
      </c>
      <c r="I32" s="58">
        <f>MAX(I31,0)*Assumptions!$B$33</f>
        <v>317.39109686559482</v>
      </c>
      <c r="J32" s="58">
        <f>MAX(J31,0)*Assumptions!$B$33</f>
        <v>456.10276142166981</v>
      </c>
      <c r="K32" s="58">
        <f>MAX(K31,0)*Assumptions!$B$33</f>
        <v>611.93787157407348</v>
      </c>
      <c r="L32" s="58">
        <f>MAX(L31,0)*Assumptions!$B$33</f>
        <v>784.91230993901183</v>
      </c>
      <c r="M32" s="58">
        <f>MAX(M31,0)*Assumptions!$B$33</f>
        <v>974.7448056390765</v>
      </c>
      <c r="N32" s="58">
        <f>MAX(N31,0)*Assumptions!$B$33</f>
        <v>1180.8337074027668</v>
      </c>
    </row>
    <row r="33" spans="1:14" ht="15" customHeight="1" x14ac:dyDescent="0.3">
      <c r="A33" s="10" t="s">
        <v>143</v>
      </c>
      <c r="E33" s="34">
        <f t="shared" ref="E33:N33" si="8">E31-E32</f>
        <v>-299.00200000000018</v>
      </c>
      <c r="F33" s="34">
        <f t="shared" si="8"/>
        <v>0</v>
      </c>
      <c r="G33" s="34">
        <f t="shared" si="8"/>
        <v>267.45654023992995</v>
      </c>
      <c r="H33" s="34">
        <f t="shared" si="8"/>
        <v>581.27221412144786</v>
      </c>
      <c r="I33" s="34">
        <f t="shared" si="8"/>
        <v>943.59856092381665</v>
      </c>
      <c r="J33" s="34">
        <f t="shared" si="8"/>
        <v>1355.986080142374</v>
      </c>
      <c r="K33" s="34">
        <f t="shared" si="8"/>
        <v>1819.281324191018</v>
      </c>
      <c r="L33" s="34">
        <f t="shared" si="8"/>
        <v>2333.5315118290132</v>
      </c>
      <c r="M33" s="34">
        <f t="shared" si="8"/>
        <v>2897.9004293195112</v>
      </c>
      <c r="N33" s="34">
        <f t="shared" si="8"/>
        <v>3510.5993772327793</v>
      </c>
    </row>
    <row r="34" spans="1:14" ht="15" customHeight="1" x14ac:dyDescent="0.3">
      <c r="A34" s="14" t="s">
        <v>144</v>
      </c>
      <c r="E34" s="36">
        <f t="shared" ref="E34:N34" si="9">E30</f>
        <v>2093.0140000000001</v>
      </c>
      <c r="F34" s="36">
        <f t="shared" si="9"/>
        <v>2256.616081975309</v>
      </c>
      <c r="G34" s="36">
        <f t="shared" si="9"/>
        <v>2422.5056728043901</v>
      </c>
      <c r="H34" s="36">
        <f t="shared" si="9"/>
        <v>2589.3011453581348</v>
      </c>
      <c r="I34" s="36">
        <f t="shared" si="9"/>
        <v>2755.4959188731591</v>
      </c>
      <c r="J34" s="36">
        <f t="shared" si="9"/>
        <v>2919.4764669642918</v>
      </c>
      <c r="K34" s="36">
        <f t="shared" si="9"/>
        <v>3079.5443146357825</v>
      </c>
      <c r="L34" s="36">
        <f t="shared" si="9"/>
        <v>3233.9417410927658</v>
      </c>
      <c r="M34" s="36">
        <f t="shared" si="9"/>
        <v>3380.880760678132</v>
      </c>
      <c r="N34" s="36">
        <f t="shared" si="9"/>
        <v>3518.5748134766595</v>
      </c>
    </row>
    <row r="35" spans="1:14" ht="15" customHeight="1" x14ac:dyDescent="0.3">
      <c r="A35" s="14" t="s">
        <v>145</v>
      </c>
      <c r="E35" s="58">
        <f>E13*(Assumptions!$B$49+(0)/9*(Assumptions!$B$50-Assumptions!$B$49))</f>
        <v>2392.0160000000001</v>
      </c>
      <c r="F35" s="58">
        <f>F13*(Assumptions!$B$49+(1)/9*(Assumptions!$B$50-Assumptions!$B$49))</f>
        <v>2547.7923506172842</v>
      </c>
      <c r="G35" s="58">
        <f>G13*(Assumptions!$B$49+(2)/9*(Assumptions!$B$50-Assumptions!$B$49))</f>
        <v>2700.4981270606313</v>
      </c>
      <c r="H35" s="58">
        <f>H13*(Assumptions!$B$49+(3)/9*(Assumptions!$B$50-Assumptions!$B$49))</f>
        <v>2848.2312598939484</v>
      </c>
      <c r="I35" s="58">
        <f>I13*(Assumptions!$B$49+(4)/9*(Assumptions!$B$50-Assumptions!$B$49))</f>
        <v>2989.0125221674939</v>
      </c>
      <c r="J35" s="58">
        <f>J13*(Assumptions!$B$49+(5)/9*(Assumptions!$B$50-Assumptions!$B$49))</f>
        <v>3120.8196715825188</v>
      </c>
      <c r="K35" s="58">
        <f>K13*(Assumptions!$B$49+(6)/9*(Assumptions!$B$50-Assumptions!$B$49))</f>
        <v>3241.6255943534552</v>
      </c>
      <c r="L35" s="58">
        <f>L13*(Assumptions!$B$49+(7)/9*(Assumptions!$B$50-Assumptions!$B$49))</f>
        <v>3349.4396604175076</v>
      </c>
      <c r="M35" s="58">
        <f>M13*(Assumptions!$B$49+(8)/9*(Assumptions!$B$50-Assumptions!$B$49))</f>
        <v>3442.3513199631889</v>
      </c>
      <c r="N35" s="58">
        <f>N13*(Assumptions!$B$49+(9)/9*(Assumptions!$B$50-Assumptions!$B$49))</f>
        <v>3518.5748134766595</v>
      </c>
    </row>
    <row r="36" spans="1:14" ht="15" customHeight="1" x14ac:dyDescent="0.3">
      <c r="A36" s="14" t="s">
        <v>146</v>
      </c>
      <c r="E36" s="58">
        <f>(E13-D13)*Assumptions!$B$51</f>
        <v>271.82000000000011</v>
      </c>
      <c r="F36" s="58">
        <f>(F13-E13)*Assumptions!$B$51</f>
        <v>285.71302222222261</v>
      </c>
      <c r="G36" s="58">
        <f>(G13-F13)*Assumptions!$B$51</f>
        <v>298.45567535802473</v>
      </c>
      <c r="H36" s="58">
        <f>(H13-G13)*Assumptions!$B$51</f>
        <v>309.76302045695485</v>
      </c>
      <c r="I36" s="58">
        <f>(I13-H13)*Assumptions!$B$51</f>
        <v>319.34714126083639</v>
      </c>
      <c r="J36" s="58">
        <f>(J13-I13)*Assumptions!$B$51</f>
        <v>326.92324461206954</v>
      </c>
      <c r="K36" s="58">
        <f>(K13-J13)*Assumptions!$B$51</f>
        <v>332.21628762007458</v>
      </c>
      <c r="L36" s="58">
        <f>(L13-K13)*Assumptions!$B$51</f>
        <v>334.96797808319099</v>
      </c>
      <c r="M36" s="58">
        <f>(M13-L13)*Assumptions!$B$51</f>
        <v>334.94396604175131</v>
      </c>
      <c r="N36" s="58">
        <f>(N13-M13)*Assumptions!$B$51</f>
        <v>331.94102013930751</v>
      </c>
    </row>
    <row r="37" spans="1:14" ht="15" customHeight="1" x14ac:dyDescent="0.3">
      <c r="A37" s="31" t="s">
        <v>147</v>
      </c>
      <c r="E37" s="59">
        <f t="shared" ref="E37:N37" si="10">E33+E34-E35-E36</f>
        <v>-869.8240000000003</v>
      </c>
      <c r="F37" s="59">
        <f t="shared" si="10"/>
        <v>-576.88929086419785</v>
      </c>
      <c r="G37" s="59">
        <f t="shared" si="10"/>
        <v>-308.99158937433612</v>
      </c>
      <c r="H37" s="59">
        <f t="shared" si="10"/>
        <v>12.579079128679666</v>
      </c>
      <c r="I37" s="59">
        <f t="shared" si="10"/>
        <v>390.73481636864568</v>
      </c>
      <c r="J37" s="59">
        <f t="shared" si="10"/>
        <v>827.71963091207726</v>
      </c>
      <c r="K37" s="59">
        <f t="shared" si="10"/>
        <v>1324.9837568532703</v>
      </c>
      <c r="L37" s="59">
        <f t="shared" si="10"/>
        <v>1883.0656144210805</v>
      </c>
      <c r="M37" s="59">
        <f t="shared" si="10"/>
        <v>2501.4859039927032</v>
      </c>
      <c r="N37" s="59">
        <f t="shared" si="10"/>
        <v>3178.6583570934713</v>
      </c>
    </row>
    <row r="39" spans="1:14" ht="15" customHeight="1" x14ac:dyDescent="0.3">
      <c r="A39" s="60" t="s">
        <v>148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</row>
    <row r="40" spans="1:14" ht="15" customHeight="1" x14ac:dyDescent="0.3">
      <c r="A40" s="14" t="s">
        <v>139</v>
      </c>
      <c r="C40" s="36">
        <f t="shared" ref="C40:N40" si="11">C24</f>
        <v>648</v>
      </c>
      <c r="D40" s="36">
        <f t="shared" si="11"/>
        <v>1208</v>
      </c>
      <c r="E40" s="36">
        <f t="shared" si="11"/>
        <v>2565.9807999999998</v>
      </c>
      <c r="F40" s="36">
        <f t="shared" si="11"/>
        <v>3589.363636345679</v>
      </c>
      <c r="G40" s="36">
        <f t="shared" si="11"/>
        <v>4850.7420718573394</v>
      </c>
      <c r="H40" s="36">
        <f t="shared" si="11"/>
        <v>6377.7556760780299</v>
      </c>
      <c r="I40" s="36">
        <f t="shared" si="11"/>
        <v>8195.353882398902</v>
      </c>
      <c r="J40" s="36">
        <f t="shared" si="11"/>
        <v>10324.153965531756</v>
      </c>
      <c r="K40" s="36">
        <f t="shared" si="11"/>
        <v>12778.685218182121</v>
      </c>
      <c r="L40" s="36">
        <f t="shared" si="11"/>
        <v>15565.603604084803</v>
      </c>
      <c r="M40" s="36">
        <f t="shared" si="11"/>
        <v>18681.979875982353</v>
      </c>
      <c r="N40" s="36">
        <f t="shared" si="11"/>
        <v>22113.778353200858</v>
      </c>
    </row>
    <row r="41" spans="1:14" ht="15" customHeight="1" x14ac:dyDescent="0.3">
      <c r="A41" s="14" t="s">
        <v>140</v>
      </c>
      <c r="C41" s="58">
        <f>Assumptions!$B$18</f>
        <v>863</v>
      </c>
      <c r="D41" s="58">
        <f>Assumptions!$C$18</f>
        <v>1597</v>
      </c>
      <c r="E41" s="58">
        <f>E14*(Assumptions!$C$47+(0)/9*(Assumptions!$C$48-Assumptions!$C$47))</f>
        <v>1924.4855999999997</v>
      </c>
      <c r="F41" s="58">
        <f>F14*(Assumptions!$C$47+(1)/9*(Assumptions!$C$48-Assumptions!$C$47))</f>
        <v>2212.0496828641972</v>
      </c>
      <c r="G41" s="58">
        <f>G14*(Assumptions!$C$47+(2)/9*(Assumptions!$C$48-Assumptions!$C$47))</f>
        <v>2522.3858773658162</v>
      </c>
      <c r="H41" s="58">
        <f>H14*(Assumptions!$C$47+(3)/9*(Assumptions!$C$48-Assumptions!$C$47))</f>
        <v>2853.2064866664869</v>
      </c>
      <c r="I41" s="58">
        <f>I14*(Assumptions!$C$47+(4)/9*(Assumptions!$C$48-Assumptions!$C$47))</f>
        <v>3201.3101103120712</v>
      </c>
      <c r="J41" s="58">
        <f>J14*(Assumptions!$C$47+(5)/9*(Assumptions!$C$48-Assumptions!$C$47))</f>
        <v>3562.5601712046196</v>
      </c>
      <c r="K41" s="58">
        <f>K14*(Assumptions!$C$47+(6)/9*(Assumptions!$C$48-Assumptions!$C$47))</f>
        <v>3931.9031440560375</v>
      </c>
      <c r="L41" s="58">
        <f>L14*(Assumptions!$C$47+(7)/9*(Assumptions!$C$48-Assumptions!$C$47))</f>
        <v>4303.4315846587397</v>
      </c>
      <c r="M41" s="58">
        <f>M14*(Assumptions!$C$47+(8)/9*(Assumptions!$C$48-Assumptions!$C$47))</f>
        <v>4670.4949689955884</v>
      </c>
      <c r="N41" s="58">
        <f>N14*(Assumptions!$C$47+(9)/9*(Assumptions!$C$48-Assumptions!$C$47))</f>
        <v>5025.8587166365578</v>
      </c>
    </row>
    <row r="42" spans="1:14" ht="15" customHeight="1" x14ac:dyDescent="0.3">
      <c r="A42" s="10" t="s">
        <v>141</v>
      </c>
      <c r="C42" s="34">
        <f t="shared" ref="C42:N42" si="12">C40-C41</f>
        <v>-215</v>
      </c>
      <c r="D42" s="34">
        <f t="shared" si="12"/>
        <v>-389</v>
      </c>
      <c r="E42" s="34">
        <f t="shared" si="12"/>
        <v>641.49520000000007</v>
      </c>
      <c r="F42" s="34">
        <f t="shared" si="12"/>
        <v>1377.3139534814818</v>
      </c>
      <c r="G42" s="34">
        <f t="shared" si="12"/>
        <v>2328.3561944915232</v>
      </c>
      <c r="H42" s="34">
        <f t="shared" si="12"/>
        <v>3524.549189411543</v>
      </c>
      <c r="I42" s="34">
        <f t="shared" si="12"/>
        <v>4994.0437720868304</v>
      </c>
      <c r="J42" s="34">
        <f t="shared" si="12"/>
        <v>6761.5937943271365</v>
      </c>
      <c r="K42" s="34">
        <f t="shared" si="12"/>
        <v>8846.7820741260839</v>
      </c>
      <c r="L42" s="34">
        <f t="shared" si="12"/>
        <v>11262.172019426063</v>
      </c>
      <c r="M42" s="34">
        <f t="shared" si="12"/>
        <v>14011.484906986765</v>
      </c>
      <c r="N42" s="34">
        <f t="shared" si="12"/>
        <v>17087.9196365643</v>
      </c>
    </row>
    <row r="43" spans="1:14" ht="15" customHeight="1" x14ac:dyDescent="0.3">
      <c r="A43" s="14" t="s">
        <v>142</v>
      </c>
      <c r="E43" s="58">
        <f>MAX(E42,0)*Assumptions!$B$33</f>
        <v>161.46434184</v>
      </c>
      <c r="F43" s="58">
        <f>MAX(F42,0)*Assumptions!$B$33</f>
        <v>346.66992209128892</v>
      </c>
      <c r="G43" s="58">
        <f>MAX(G42,0)*Assumptions!$B$33</f>
        <v>586.04725415351629</v>
      </c>
      <c r="H43" s="58">
        <f>MAX(H42,0)*Assumptions!$B$33</f>
        <v>887.12903097488527</v>
      </c>
      <c r="I43" s="58">
        <f>MAX(I42,0)*Assumptions!$B$33</f>
        <v>1257.0008174342552</v>
      </c>
      <c r="J43" s="58">
        <f>MAX(J42,0)*Assumptions!$B$33</f>
        <v>1701.89315803214</v>
      </c>
      <c r="K43" s="58">
        <f>MAX(K42,0)*Assumptions!$B$33</f>
        <v>2226.7350480575351</v>
      </c>
      <c r="L43" s="58">
        <f>MAX(L42,0)*Assumptions!$B$33</f>
        <v>2834.68869728954</v>
      </c>
      <c r="M43" s="58">
        <f>MAX(M42,0)*Assumptions!$B$33</f>
        <v>3526.6907510885685</v>
      </c>
      <c r="N43" s="58">
        <f>MAX(N42,0)*Assumptions!$B$33</f>
        <v>4301.0293725232341</v>
      </c>
    </row>
    <row r="44" spans="1:14" ht="15" customHeight="1" x14ac:dyDescent="0.3">
      <c r="A44" s="10" t="s">
        <v>143</v>
      </c>
      <c r="E44" s="34">
        <f t="shared" ref="E44:N44" si="13">E42-E43</f>
        <v>480.03085816000009</v>
      </c>
      <c r="F44" s="34">
        <f t="shared" si="13"/>
        <v>1030.6440313901928</v>
      </c>
      <c r="G44" s="34">
        <f t="shared" si="13"/>
        <v>1742.3089403380068</v>
      </c>
      <c r="H44" s="34">
        <f t="shared" si="13"/>
        <v>2637.4201584366579</v>
      </c>
      <c r="I44" s="34">
        <f t="shared" si="13"/>
        <v>3737.0429546525752</v>
      </c>
      <c r="J44" s="34">
        <f t="shared" si="13"/>
        <v>5059.700636294996</v>
      </c>
      <c r="K44" s="34">
        <f t="shared" si="13"/>
        <v>6620.0470260685488</v>
      </c>
      <c r="L44" s="34">
        <f t="shared" si="13"/>
        <v>8427.4833221365225</v>
      </c>
      <c r="M44" s="34">
        <f t="shared" si="13"/>
        <v>10484.794155898197</v>
      </c>
      <c r="N44" s="34">
        <f t="shared" si="13"/>
        <v>12786.890264041067</v>
      </c>
    </row>
    <row r="45" spans="1:14" ht="15" customHeight="1" x14ac:dyDescent="0.3">
      <c r="A45" s="14" t="s">
        <v>144</v>
      </c>
      <c r="E45" s="36">
        <f t="shared" ref="E45:N45" si="14">E41</f>
        <v>1924.4855999999997</v>
      </c>
      <c r="F45" s="36">
        <f t="shared" si="14"/>
        <v>2212.0496828641972</v>
      </c>
      <c r="G45" s="36">
        <f t="shared" si="14"/>
        <v>2522.3858773658162</v>
      </c>
      <c r="H45" s="36">
        <f t="shared" si="14"/>
        <v>2853.2064866664869</v>
      </c>
      <c r="I45" s="36">
        <f t="shared" si="14"/>
        <v>3201.3101103120712</v>
      </c>
      <c r="J45" s="36">
        <f t="shared" si="14"/>
        <v>3562.5601712046196</v>
      </c>
      <c r="K45" s="36">
        <f t="shared" si="14"/>
        <v>3931.9031440560375</v>
      </c>
      <c r="L45" s="36">
        <f t="shared" si="14"/>
        <v>4303.4315846587397</v>
      </c>
      <c r="M45" s="36">
        <f t="shared" si="14"/>
        <v>4670.4949689955884</v>
      </c>
      <c r="N45" s="36">
        <f t="shared" si="14"/>
        <v>5025.8587166365578</v>
      </c>
    </row>
    <row r="46" spans="1:14" ht="15" customHeight="1" x14ac:dyDescent="0.3">
      <c r="A46" s="14" t="s">
        <v>145</v>
      </c>
      <c r="E46" s="58">
        <f>E14*(Assumptions!$C$49+(0)/9*(Assumptions!$C$50-Assumptions!$C$49))</f>
        <v>2245.2332000000001</v>
      </c>
      <c r="F46" s="58">
        <f>F14*(Assumptions!$C$49+(1)/9*(Assumptions!$C$50-Assumptions!$C$49))</f>
        <v>2545.9439746172839</v>
      </c>
      <c r="G46" s="58">
        <f>G14*(Assumptions!$C$49+(2)/9*(Assumptions!$C$50-Assumptions!$C$49))</f>
        <v>2861.9378223958302</v>
      </c>
      <c r="H46" s="58">
        <f>H14*(Assumptions!$C$49+(3)/9*(Assumptions!$C$50-Assumptions!$C$49))</f>
        <v>3188.8778380390149</v>
      </c>
      <c r="I46" s="58">
        <f>I14*(Assumptions!$C$49+(4)/9*(Assumptions!$C$50-Assumptions!$C$49))</f>
        <v>3521.4411213432786</v>
      </c>
      <c r="J46" s="58">
        <f>J14*(Assumptions!$C$49+(5)/9*(Assumptions!$C$50-Assumptions!$C$49))</f>
        <v>3853.3814096703031</v>
      </c>
      <c r="K46" s="58">
        <f>K14*(Assumptions!$C$49+(6)/9*(Assumptions!$C$50-Assumptions!$C$49))</f>
        <v>4177.6470905595397</v>
      </c>
      <c r="L46" s="58">
        <f>L14*(Assumptions!$C$49+(7)/9*(Assumptions!$C$50-Assumptions!$C$49))</f>
        <v>4486.5563329420902</v>
      </c>
      <c r="M46" s="58">
        <f>M14*(Assumptions!$C$49+(8)/9*(Assumptions!$C$50-Assumptions!$C$49))</f>
        <v>4772.0274683215794</v>
      </c>
      <c r="N46" s="58">
        <f>N14*(Assumptions!$C$49+(9)/9*(Assumptions!$C$50-Assumptions!$C$49))</f>
        <v>5025.8587166365578</v>
      </c>
    </row>
    <row r="47" spans="1:14" ht="15" customHeight="1" x14ac:dyDescent="0.3">
      <c r="A47" s="14" t="s">
        <v>146</v>
      </c>
      <c r="E47" s="58">
        <f>(E14-D14)*Assumptions!$C$51</f>
        <v>391.42079999999987</v>
      </c>
      <c r="F47" s="58">
        <f>(F14-E14)*Assumptions!$C$51</f>
        <v>439.06782577777778</v>
      </c>
      <c r="G47" s="58">
        <f>(G14-F14)*Assumptions!$C$51</f>
        <v>487.48566595950632</v>
      </c>
      <c r="H47" s="58">
        <f>(H14-G14)*Assumptions!$C$51</f>
        <v>535.52192473305035</v>
      </c>
      <c r="I47" s="58">
        <f>(I14-H14)*Assumptions!$C$51</f>
        <v>581.83034237904826</v>
      </c>
      <c r="J47" s="58">
        <f>(J14-I14)*Assumptions!$C$51</f>
        <v>624.89573353291553</v>
      </c>
      <c r="K47" s="58">
        <f>(K14-J14)*Assumptions!$C$51</f>
        <v>663.07242370175777</v>
      </c>
      <c r="L47" s="58">
        <f>(L14-K14)*Assumptions!$C$51</f>
        <v>694.6362221165665</v>
      </c>
      <c r="M47" s="58">
        <f>(M14-L14)*Assumptions!$C$51</f>
        <v>717.84901327073339</v>
      </c>
      <c r="N47" s="58">
        <f>(N14-M14)*Assumptions!$C$51</f>
        <v>731.03399514713681</v>
      </c>
    </row>
    <row r="48" spans="1:14" ht="15" customHeight="1" x14ac:dyDescent="0.3">
      <c r="A48" s="31" t="s">
        <v>147</v>
      </c>
      <c r="E48" s="59">
        <f t="shared" ref="E48:N48" si="15">E44+E45-E46-E47</f>
        <v>-232.13754184000027</v>
      </c>
      <c r="F48" s="59">
        <f t="shared" si="15"/>
        <v>257.68191385932857</v>
      </c>
      <c r="G48" s="59">
        <f t="shared" si="15"/>
        <v>915.27132934848646</v>
      </c>
      <c r="H48" s="59">
        <f t="shared" si="15"/>
        <v>1766.226882331079</v>
      </c>
      <c r="I48" s="59">
        <f t="shared" si="15"/>
        <v>2835.0816012423193</v>
      </c>
      <c r="J48" s="59">
        <f t="shared" si="15"/>
        <v>4143.9836642963965</v>
      </c>
      <c r="K48" s="59">
        <f t="shared" si="15"/>
        <v>5711.230655863289</v>
      </c>
      <c r="L48" s="59">
        <f t="shared" si="15"/>
        <v>7549.7223517366065</v>
      </c>
      <c r="M48" s="59">
        <f t="shared" si="15"/>
        <v>9665.4126433014717</v>
      </c>
      <c r="N48" s="59">
        <f t="shared" si="15"/>
        <v>12055.856268893931</v>
      </c>
    </row>
    <row r="50" spans="1:14" ht="15" customHeight="1" x14ac:dyDescent="0.3">
      <c r="A50" s="62" t="s">
        <v>149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</row>
    <row r="51" spans="1:14" ht="15" customHeight="1" x14ac:dyDescent="0.3">
      <c r="A51" s="14" t="s">
        <v>139</v>
      </c>
      <c r="C51" s="36">
        <f t="shared" ref="C51:N51" si="16">C25</f>
        <v>648</v>
      </c>
      <c r="D51" s="36">
        <f t="shared" si="16"/>
        <v>1208</v>
      </c>
      <c r="E51" s="36">
        <f t="shared" si="16"/>
        <v>3479.2960000000003</v>
      </c>
      <c r="F51" s="36">
        <f t="shared" si="16"/>
        <v>5377.0157195061729</v>
      </c>
      <c r="G51" s="36">
        <f t="shared" si="16"/>
        <v>7936.2579488307256</v>
      </c>
      <c r="H51" s="36">
        <f t="shared" si="16"/>
        <v>11293.905542566805</v>
      </c>
      <c r="I51" s="36">
        <f t="shared" si="16"/>
        <v>15587.262819933681</v>
      </c>
      <c r="J51" s="36">
        <f t="shared" si="16"/>
        <v>20943.983598182789</v>
      </c>
      <c r="K51" s="36">
        <f t="shared" si="16"/>
        <v>27469.687961406056</v>
      </c>
      <c r="L51" s="36">
        <f t="shared" si="16"/>
        <v>35233.871722772783</v>
      </c>
      <c r="M51" s="36">
        <f t="shared" si="16"/>
        <v>44255.104579328145</v>
      </c>
      <c r="N51" s="36">
        <f t="shared" si="16"/>
        <v>54486.884758068809</v>
      </c>
    </row>
    <row r="52" spans="1:14" ht="15" customHeight="1" x14ac:dyDescent="0.3">
      <c r="A52" s="14" t="s">
        <v>140</v>
      </c>
      <c r="C52" s="58">
        <f>Assumptions!$B$18</f>
        <v>863</v>
      </c>
      <c r="D52" s="58">
        <f>Assumptions!$C$18</f>
        <v>1597</v>
      </c>
      <c r="E52" s="58">
        <f>E15*(Assumptions!$D$47+(0)/9*(Assumptions!$D$48-Assumptions!$D$47))</f>
        <v>1739.6480000000001</v>
      </c>
      <c r="F52" s="58">
        <f>F15*(Assumptions!$D$47+(1)/9*(Assumptions!$D$48-Assumptions!$D$47))</f>
        <v>2150.8062878024693</v>
      </c>
      <c r="G52" s="58">
        <f>G15*(Assumptions!$D$47+(2)/9*(Assumptions!$D$48-Assumptions!$D$47))</f>
        <v>2625.0699369209328</v>
      </c>
      <c r="H52" s="58">
        <f>H15*(Assumptions!$D$47+(3)/9*(Assumptions!$D$48-Assumptions!$D$47))</f>
        <v>3162.2935519187054</v>
      </c>
      <c r="I52" s="58">
        <f>I15*(Assumptions!$D$47+(4)/9*(Assumptions!$D$48-Assumptions!$D$47))</f>
        <v>3759.2810330428292</v>
      </c>
      <c r="J52" s="58">
        <f>J15*(Assumptions!$D$47+(5)/9*(Assumptions!$D$48-Assumptions!$D$47))</f>
        <v>4409.2597048805874</v>
      </c>
      <c r="K52" s="58">
        <f>K15*(Assumptions!$D$47+(6)/9*(Assumptions!$D$48-Assumptions!$D$47))</f>
        <v>5101.5134785468399</v>
      </c>
      <c r="L52" s="58">
        <f>L15*(Assumptions!$D$47+(7)/9*(Assumptions!$D$48-Assumptions!$D$47))</f>
        <v>5821.2483715885483</v>
      </c>
      <c r="M52" s="58">
        <f>M15*(Assumptions!$D$47+(8)/9*(Assumptions!$D$48-Assumptions!$D$47))</f>
        <v>6549.7554777405649</v>
      </c>
      <c r="N52" s="58">
        <f>N15*(Assumptions!$D$47+(9)/9*(Assumptions!$D$48-Assumptions!$D$47))</f>
        <v>7264.9179677425082</v>
      </c>
    </row>
    <row r="53" spans="1:14" ht="15" customHeight="1" x14ac:dyDescent="0.3">
      <c r="A53" s="10" t="s">
        <v>141</v>
      </c>
      <c r="C53" s="34">
        <f t="shared" ref="C53:N53" si="17">C51-C52</f>
        <v>-215</v>
      </c>
      <c r="D53" s="34">
        <f t="shared" si="17"/>
        <v>-389</v>
      </c>
      <c r="E53" s="34">
        <f t="shared" si="17"/>
        <v>1739.6480000000001</v>
      </c>
      <c r="F53" s="34">
        <f t="shared" si="17"/>
        <v>3226.2094317037036</v>
      </c>
      <c r="G53" s="34">
        <f t="shared" si="17"/>
        <v>5311.1880119097932</v>
      </c>
      <c r="H53" s="34">
        <f t="shared" si="17"/>
        <v>8131.6119906480999</v>
      </c>
      <c r="I53" s="34">
        <f t="shared" si="17"/>
        <v>11827.981786890852</v>
      </c>
      <c r="J53" s="34">
        <f t="shared" si="17"/>
        <v>16534.723893302202</v>
      </c>
      <c r="K53" s="34">
        <f t="shared" si="17"/>
        <v>22368.174482859216</v>
      </c>
      <c r="L53" s="34">
        <f t="shared" si="17"/>
        <v>29412.623351184237</v>
      </c>
      <c r="M53" s="34">
        <f t="shared" si="17"/>
        <v>37705.349101587577</v>
      </c>
      <c r="N53" s="34">
        <f t="shared" si="17"/>
        <v>47221.966790326303</v>
      </c>
    </row>
    <row r="54" spans="1:14" ht="15" customHeight="1" x14ac:dyDescent="0.3">
      <c r="A54" s="14" t="s">
        <v>142</v>
      </c>
      <c r="E54" s="58">
        <f>MAX(E53,0)*Assumptions!$B$33</f>
        <v>437.8694016</v>
      </c>
      <c r="F54" s="58">
        <f>MAX(F53,0)*Assumptions!$B$33</f>
        <v>812.03691395982207</v>
      </c>
      <c r="G54" s="58">
        <f>MAX(G53,0)*Assumptions!$B$33</f>
        <v>1336.8260225976949</v>
      </c>
      <c r="H54" s="58">
        <f>MAX(H53,0)*Assumptions!$B$33</f>
        <v>2046.7267380461267</v>
      </c>
      <c r="I54" s="58">
        <f>MAX(I53,0)*Assumptions!$B$33</f>
        <v>2977.1030157604273</v>
      </c>
      <c r="J54" s="58">
        <f>MAX(J53,0)*Assumptions!$B$33</f>
        <v>4161.7900039441638</v>
      </c>
      <c r="K54" s="58">
        <f>MAX(K53,0)*Assumptions!$B$33</f>
        <v>5630.0695173356644</v>
      </c>
      <c r="L54" s="58">
        <f>MAX(L53,0)*Assumptions!$B$33</f>
        <v>7403.1572974930714</v>
      </c>
      <c r="M54" s="58">
        <f>MAX(M53,0)*Assumptions!$B$33</f>
        <v>9490.4363688695921</v>
      </c>
      <c r="N54" s="58">
        <f>MAX(N53,0)*Assumptions!$B$33</f>
        <v>11885.76904112513</v>
      </c>
    </row>
    <row r="55" spans="1:14" ht="15" customHeight="1" x14ac:dyDescent="0.3">
      <c r="A55" s="10" t="s">
        <v>143</v>
      </c>
      <c r="E55" s="34">
        <f t="shared" ref="E55:N55" si="18">E53-E54</f>
        <v>1301.7785984000002</v>
      </c>
      <c r="F55" s="34">
        <f t="shared" si="18"/>
        <v>2414.1725177438816</v>
      </c>
      <c r="G55" s="34">
        <f t="shared" si="18"/>
        <v>3974.3619893120986</v>
      </c>
      <c r="H55" s="34">
        <f t="shared" si="18"/>
        <v>6084.8852526019728</v>
      </c>
      <c r="I55" s="34">
        <f t="shared" si="18"/>
        <v>8850.8787711304249</v>
      </c>
      <c r="J55" s="34">
        <f t="shared" si="18"/>
        <v>12372.933889358039</v>
      </c>
      <c r="K55" s="34">
        <f t="shared" si="18"/>
        <v>16738.104965523551</v>
      </c>
      <c r="L55" s="34">
        <f t="shared" si="18"/>
        <v>22009.466053691165</v>
      </c>
      <c r="M55" s="34">
        <f t="shared" si="18"/>
        <v>28214.912732717985</v>
      </c>
      <c r="N55" s="34">
        <f t="shared" si="18"/>
        <v>35336.197749201172</v>
      </c>
    </row>
    <row r="56" spans="1:14" ht="15" customHeight="1" x14ac:dyDescent="0.3">
      <c r="A56" s="14" t="s">
        <v>144</v>
      </c>
      <c r="E56" s="36">
        <f t="shared" ref="E56:N56" si="19">E52</f>
        <v>1739.6480000000001</v>
      </c>
      <c r="F56" s="36">
        <f t="shared" si="19"/>
        <v>2150.8062878024693</v>
      </c>
      <c r="G56" s="36">
        <f t="shared" si="19"/>
        <v>2625.0699369209328</v>
      </c>
      <c r="H56" s="36">
        <f t="shared" si="19"/>
        <v>3162.2935519187054</v>
      </c>
      <c r="I56" s="36">
        <f t="shared" si="19"/>
        <v>3759.2810330428292</v>
      </c>
      <c r="J56" s="36">
        <f t="shared" si="19"/>
        <v>4409.2597048805874</v>
      </c>
      <c r="K56" s="36">
        <f t="shared" si="19"/>
        <v>5101.5134785468399</v>
      </c>
      <c r="L56" s="36">
        <f t="shared" si="19"/>
        <v>5821.2483715885483</v>
      </c>
      <c r="M56" s="36">
        <f t="shared" si="19"/>
        <v>6549.7554777405649</v>
      </c>
      <c r="N56" s="36">
        <f t="shared" si="19"/>
        <v>7264.9179677425082</v>
      </c>
    </row>
    <row r="57" spans="1:14" ht="15" customHeight="1" x14ac:dyDescent="0.3">
      <c r="A57" s="14" t="s">
        <v>145</v>
      </c>
      <c r="E57" s="58">
        <f>E15*(Assumptions!$D$49+(0)/9*(Assumptions!$D$50-Assumptions!$D$49))</f>
        <v>2087.5776000000001</v>
      </c>
      <c r="F57" s="58">
        <f>F15*(Assumptions!$D$49+(1)/9*(Assumptions!$D$50-Assumptions!$D$49))</f>
        <v>2541.8619764938271</v>
      </c>
      <c r="G57" s="58">
        <f>G15*(Assumptions!$D$49+(2)/9*(Assumptions!$D$50-Assumptions!$D$49))</f>
        <v>3052.4069033964333</v>
      </c>
      <c r="H57" s="58">
        <f>H15*(Assumptions!$D$49+(3)/9*(Assumptions!$D$50-Assumptions!$D$49))</f>
        <v>3614.0497736213774</v>
      </c>
      <c r="I57" s="58">
        <f>I15*(Assumptions!$D$49+(4)/9*(Assumptions!$D$50-Assumptions!$D$49))</f>
        <v>4217.7299395114669</v>
      </c>
      <c r="J57" s="58">
        <f>J15*(Assumptions!$D$49+(5)/9*(Assumptions!$D$50-Assumptions!$D$49))</f>
        <v>4850.1856753686452</v>
      </c>
      <c r="K57" s="58">
        <f>K15*(Assumptions!$D$49+(6)/9*(Assumptions!$D$50-Assumptions!$D$49))</f>
        <v>5493.9375922812123</v>
      </c>
      <c r="L57" s="58">
        <f>L15*(Assumptions!$D$49+(7)/9*(Assumptions!$D$50-Assumptions!$D$49))</f>
        <v>6127.6298648300508</v>
      </c>
      <c r="M57" s="58">
        <f>M15*(Assumptions!$D$49+(8)/9*(Assumptions!$D$50-Assumptions!$D$49))</f>
        <v>6726.7758960578776</v>
      </c>
      <c r="N57" s="58">
        <f>N15*(Assumptions!$D$49+(9)/9*(Assumptions!$D$50-Assumptions!$D$49))</f>
        <v>7264.9179677425082</v>
      </c>
    </row>
    <row r="58" spans="1:14" ht="15" customHeight="1" x14ac:dyDescent="0.3">
      <c r="A58" s="14" t="s">
        <v>146</v>
      </c>
      <c r="E58" s="58">
        <f>(E15-D15)*Assumptions!$D$51</f>
        <v>456.65759999999995</v>
      </c>
      <c r="F58" s="58">
        <f>(F15-E15)*Assumptions!$D$51</f>
        <v>552.0482986666666</v>
      </c>
      <c r="G58" s="58">
        <f>(G15-F15)*Assumptions!$D$51</f>
        <v>656.97355700148137</v>
      </c>
      <c r="H58" s="58">
        <f>(H15-G15)*Assumptions!$D$51</f>
        <v>769.20653965590168</v>
      </c>
      <c r="I58" s="58">
        <f>(I15-H15)*Assumptions!$D$51</f>
        <v>885.44219453723747</v>
      </c>
      <c r="J58" s="58">
        <f>(J15-I15)*Assumptions!$D$51</f>
        <v>1001.2524117275053</v>
      </c>
      <c r="K58" s="58">
        <f>(K15-J15)*Assumptions!$D$51</f>
        <v>1111.1334456299082</v>
      </c>
      <c r="L58" s="58">
        <f>(L15-K15)*Assumptions!$D$51</f>
        <v>1208.6662703018669</v>
      </c>
      <c r="M58" s="58">
        <f>(M15-L15)*Assumptions!$D$51</f>
        <v>1286.8022716143105</v>
      </c>
      <c r="N58" s="58">
        <f>(N15-M15)*Assumptions!$D$51</f>
        <v>1338.2743624788836</v>
      </c>
    </row>
    <row r="59" spans="1:14" ht="15" customHeight="1" x14ac:dyDescent="0.3">
      <c r="A59" s="31" t="s">
        <v>147</v>
      </c>
      <c r="E59" s="59">
        <f t="shared" ref="E59:N59" si="20">E55+E56-E57-E58</f>
        <v>497.19139840000031</v>
      </c>
      <c r="F59" s="59">
        <f t="shared" si="20"/>
        <v>1471.0685303858568</v>
      </c>
      <c r="G59" s="59">
        <f t="shared" si="20"/>
        <v>2890.0514658351171</v>
      </c>
      <c r="H59" s="59">
        <f t="shared" si="20"/>
        <v>4863.9224912433983</v>
      </c>
      <c r="I59" s="59">
        <f t="shared" si="20"/>
        <v>7506.9876701245485</v>
      </c>
      <c r="J59" s="59">
        <f t="shared" si="20"/>
        <v>10930.755507142476</v>
      </c>
      <c r="K59" s="59">
        <f t="shared" si="20"/>
        <v>15234.54740615927</v>
      </c>
      <c r="L59" s="59">
        <f t="shared" si="20"/>
        <v>20494.418290147798</v>
      </c>
      <c r="M59" s="59">
        <f t="shared" si="20"/>
        <v>26751.09004278636</v>
      </c>
      <c r="N59" s="59">
        <f t="shared" si="20"/>
        <v>33997.923386722287</v>
      </c>
    </row>
    <row r="61" spans="1:14" ht="15" customHeight="1" x14ac:dyDescent="0.3">
      <c r="A61" s="3" t="s">
        <v>150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5" customHeight="1" x14ac:dyDescent="0.3">
      <c r="A62" s="14" t="s">
        <v>151</v>
      </c>
      <c r="B62" s="64">
        <f>Assumptions!$B$26</f>
        <v>6.7500000000000004E-2</v>
      </c>
    </row>
    <row r="63" spans="1:14" ht="15" customHeight="1" x14ac:dyDescent="0.3">
      <c r="A63" s="14" t="s">
        <v>152</v>
      </c>
      <c r="B63" s="64">
        <f>Assumptions!$B$27</f>
        <v>7.3099999999999998E-2</v>
      </c>
    </row>
    <row r="64" spans="1:14" ht="15" customHeight="1" x14ac:dyDescent="0.3">
      <c r="A64" s="14" t="s">
        <v>153</v>
      </c>
      <c r="B64" s="65">
        <f>Assumptions!$B$28</f>
        <v>1.26</v>
      </c>
    </row>
    <row r="65" spans="1:14" ht="15" customHeight="1" x14ac:dyDescent="0.3">
      <c r="A65" s="14" t="s">
        <v>154</v>
      </c>
      <c r="B65" s="64">
        <f>Assumptions!$B$29</f>
        <v>0.159606</v>
      </c>
    </row>
    <row r="66" spans="1:14" ht="15" customHeight="1" x14ac:dyDescent="0.3">
      <c r="A66" s="14" t="s">
        <v>155</v>
      </c>
      <c r="B66" s="64">
        <f>Assumptions!$B$34</f>
        <v>8.8393430766912764E-2</v>
      </c>
    </row>
    <row r="67" spans="1:14" ht="15" customHeight="1" x14ac:dyDescent="0.3">
      <c r="A67" s="14" t="s">
        <v>156</v>
      </c>
      <c r="B67" s="64">
        <f>Assumptions!$B$38</f>
        <v>0.98363435616231354</v>
      </c>
    </row>
    <row r="68" spans="1:14" ht="15" customHeight="1" x14ac:dyDescent="0.3">
      <c r="A68" s="14" t="s">
        <v>157</v>
      </c>
      <c r="B68" s="64">
        <f>Assumptions!$B$37</f>
        <v>1.6365643837686454E-2</v>
      </c>
    </row>
    <row r="69" spans="1:14" ht="15" customHeight="1" x14ac:dyDescent="0.3">
      <c r="A69" s="31" t="s">
        <v>7</v>
      </c>
      <c r="B69" s="66">
        <f>Assumptions!$B$39</f>
        <v>0.15844056045516469</v>
      </c>
    </row>
    <row r="71" spans="1:14" ht="15" customHeight="1" x14ac:dyDescent="0.3">
      <c r="A71" s="3" t="s">
        <v>158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5" customHeight="1" x14ac:dyDescent="0.3">
      <c r="A72" s="10" t="s">
        <v>3</v>
      </c>
      <c r="B72" s="11" t="s">
        <v>4</v>
      </c>
      <c r="C72" s="12" t="s">
        <v>5</v>
      </c>
      <c r="D72" s="13" t="s">
        <v>6</v>
      </c>
    </row>
    <row r="73" spans="1:14" ht="15" customHeight="1" x14ac:dyDescent="0.3">
      <c r="A73" s="14" t="s">
        <v>159</v>
      </c>
      <c r="B73" s="36">
        <f>N37</f>
        <v>3178.6583570934713</v>
      </c>
      <c r="C73" s="36">
        <f>N48</f>
        <v>12055.856268893931</v>
      </c>
      <c r="D73" s="36">
        <f>N59</f>
        <v>33997.923386722287</v>
      </c>
    </row>
    <row r="74" spans="1:14" ht="15" customHeight="1" x14ac:dyDescent="0.3">
      <c r="A74" s="14" t="s">
        <v>160</v>
      </c>
      <c r="B74" s="67">
        <f>Assumptions!$B$52</f>
        <v>0.04</v>
      </c>
      <c r="C74" s="67">
        <f>Assumptions!$C$52</f>
        <v>0.05</v>
      </c>
      <c r="D74" s="67">
        <f>Assumptions!$D$52</f>
        <v>0.06</v>
      </c>
    </row>
    <row r="75" spans="1:14" ht="15" customHeight="1" x14ac:dyDescent="0.3">
      <c r="A75" s="14" t="s">
        <v>161</v>
      </c>
      <c r="B75" s="36">
        <f>B73*(1+B74)/($B$69-B74)</f>
        <v>27911.086191023325</v>
      </c>
      <c r="C75" s="36">
        <f>C73*(1+C74)/($B$69-C74)</f>
        <v>116733.52691286037</v>
      </c>
      <c r="D75" s="36">
        <f>D73*(1+D74)/($B$69-D74)</f>
        <v>366086.89165620145</v>
      </c>
    </row>
    <row r="76" spans="1:14" ht="15" customHeight="1" x14ac:dyDescent="0.3">
      <c r="A76" s="14" t="s">
        <v>162</v>
      </c>
      <c r="B76" s="36">
        <f>B75/(1+$B$69)^10</f>
        <v>6412.6743679213378</v>
      </c>
      <c r="C76" s="36">
        <f>C75/(1+$B$69)^10</f>
        <v>26819.955726119657</v>
      </c>
      <c r="D76" s="36">
        <f>D75/(1+$B$69)^10</f>
        <v>84109.805347193731</v>
      </c>
    </row>
    <row r="77" spans="1:14" ht="15" customHeight="1" x14ac:dyDescent="0.3">
      <c r="A77" s="14" t="s">
        <v>163</v>
      </c>
      <c r="B77" s="36">
        <f>SUMPRODUCT(E37:N37,1/(1+$B$69)^(E5:N5))</f>
        <v>1607.2104245830578</v>
      </c>
      <c r="C77" s="36">
        <f>SUMPRODUCT(E48:N48,1/(1+$B$69)^(E5:N5))</f>
        <v>14344.768526644204</v>
      </c>
      <c r="D77" s="36">
        <f>SUMPRODUCT(E59:N59,1/(1+$B$69)^(E5:N5))</f>
        <v>40897.796146250803</v>
      </c>
    </row>
    <row r="78" spans="1:14" ht="15" customHeight="1" x14ac:dyDescent="0.3">
      <c r="A78" s="10" t="s">
        <v>164</v>
      </c>
      <c r="B78" s="34">
        <f>B77+B76</f>
        <v>8019.8847925043956</v>
      </c>
      <c r="C78" s="34">
        <f>C77+C76</f>
        <v>41164.724252763859</v>
      </c>
      <c r="D78" s="34">
        <f>D77+D76</f>
        <v>125007.60149344453</v>
      </c>
    </row>
    <row r="79" spans="1:14" ht="15" customHeight="1" x14ac:dyDescent="0.3">
      <c r="A79" s="14" t="s">
        <v>165</v>
      </c>
      <c r="B79" s="58">
        <f>Assumptions!$B$11</f>
        <v>1523</v>
      </c>
      <c r="C79" s="58">
        <f>Assumptions!$B$11</f>
        <v>1523</v>
      </c>
      <c r="D79" s="58">
        <f>Assumptions!$B$11</f>
        <v>1523</v>
      </c>
    </row>
    <row r="80" spans="1:14" ht="15" customHeight="1" x14ac:dyDescent="0.3">
      <c r="A80" s="10" t="s">
        <v>166</v>
      </c>
      <c r="B80" s="34">
        <f>B78+B79</f>
        <v>9542.8847925043956</v>
      </c>
      <c r="C80" s="34">
        <f>C78+C79</f>
        <v>42687.724252763859</v>
      </c>
      <c r="D80" s="34">
        <f>D78+D79</f>
        <v>126530.60149344453</v>
      </c>
    </row>
    <row r="81" spans="1:14" ht="15" customHeight="1" x14ac:dyDescent="0.3">
      <c r="A81" s="14" t="s">
        <v>34</v>
      </c>
      <c r="B81" s="68">
        <f>Assumptions!$B$6</f>
        <v>963</v>
      </c>
      <c r="C81" s="68">
        <f>Assumptions!$B$6</f>
        <v>963</v>
      </c>
      <c r="D81" s="68">
        <f>Assumptions!$B$6</f>
        <v>963</v>
      </c>
    </row>
    <row r="82" spans="1:14" ht="15" customHeight="1" x14ac:dyDescent="0.3">
      <c r="A82" s="31" t="s">
        <v>167</v>
      </c>
      <c r="B82" s="69">
        <f>B80/B81</f>
        <v>9.9095376869204514</v>
      </c>
      <c r="C82" s="69">
        <f>C80/C81</f>
        <v>44.327854883451565</v>
      </c>
      <c r="D82" s="69">
        <f>D80/D81</f>
        <v>131.39210954667138</v>
      </c>
    </row>
    <row r="83" spans="1:14" ht="15" customHeight="1" x14ac:dyDescent="0.3">
      <c r="A83" s="14" t="s">
        <v>168</v>
      </c>
      <c r="B83" s="70">
        <f>Assumptions!$B$5</f>
        <v>286.60000000000002</v>
      </c>
      <c r="C83" s="70">
        <f>Assumptions!$B$5</f>
        <v>286.60000000000002</v>
      </c>
      <c r="D83" s="70">
        <f>Assumptions!$B$5</f>
        <v>286.60000000000002</v>
      </c>
    </row>
    <row r="84" spans="1:14" ht="15" customHeight="1" x14ac:dyDescent="0.3">
      <c r="A84" s="31" t="s">
        <v>13</v>
      </c>
      <c r="B84" s="71">
        <f>B82/B83-1</f>
        <v>-0.9654238043024409</v>
      </c>
      <c r="C84" s="71">
        <f>C82/C83-1</f>
        <v>-0.84533197877372102</v>
      </c>
      <c r="D84" s="71">
        <f>D82/D83-1</f>
        <v>-0.54154881525934617</v>
      </c>
    </row>
    <row r="86" spans="1:14" ht="15" customHeight="1" x14ac:dyDescent="0.3">
      <c r="A86" s="3" t="s">
        <v>169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" customHeight="1" x14ac:dyDescent="0.3">
      <c r="A87" s="4" t="s">
        <v>170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5" customHeight="1" x14ac:dyDescent="0.3">
      <c r="A88" s="72" t="s">
        <v>171</v>
      </c>
      <c r="C88" s="73">
        <f>$C$74+(-0.02)</f>
        <v>3.0000000000000002E-2</v>
      </c>
      <c r="D88" s="73">
        <f>$C$74+(-0.01)</f>
        <v>0.04</v>
      </c>
      <c r="E88" s="73">
        <f>$C$74+(0)</f>
        <v>0.05</v>
      </c>
      <c r="F88" s="73">
        <f>$C$74+(0.01)</f>
        <v>6.0000000000000005E-2</v>
      </c>
      <c r="G88" s="73">
        <f>$C$74+(0.02)</f>
        <v>7.0000000000000007E-2</v>
      </c>
    </row>
    <row r="89" spans="1:14" ht="15" customHeight="1" x14ac:dyDescent="0.3">
      <c r="B89" s="74">
        <f>$B$69+(-0.02)</f>
        <v>0.1384405604551647</v>
      </c>
      <c r="C89" s="75">
        <f>((SUMPRODUCT(E48:N48,1/(1+$B89)^(E5:N5)))+((N48*(1+C$88)/($B89-C$88))/(1+$B89)^10)+Assumptions!$B$11)/Assumptions!$B$6</f>
        <v>51.065332849887419</v>
      </c>
      <c r="D89" s="75">
        <f>((SUMPRODUCT(E48:N48,1/(1+$B89)^(E5:N5)))+((N48*(1+D$88)/($B89-D$88))/(1+$B89)^10)+Assumptions!$B$11)/Assumptions!$B$6</f>
        <v>54.716340134896285</v>
      </c>
      <c r="E89" s="75">
        <f>((SUMPRODUCT(E48:N48,1/(1+$B89)^(E5:N5)))+((N48*(1+E$88)/($B89-E$88))/(1+$B89)^10)+Assumptions!$B$11)/Assumptions!$B$6</f>
        <v>59.192988339912617</v>
      </c>
      <c r="F89" s="75">
        <f>((SUMPRODUCT(E48:N48,1/(1+$B89)^(E5:N5)))+((N48*(1+F$88)/($B89-F$88))/(1+$B89)^10)+Assumptions!$B$11)/Assumptions!$B$6</f>
        <v>64.811048125631515</v>
      </c>
      <c r="G89" s="75">
        <f>((SUMPRODUCT(E48:N48,1/(1+$B89)^(E5:N5)))+((N48*(1+G$88)/($B89-G$88))/(1+$B89)^10)+Assumptions!$B$11)/Assumptions!$B$6</f>
        <v>72.070841920644327</v>
      </c>
    </row>
    <row r="90" spans="1:14" ht="15" customHeight="1" x14ac:dyDescent="0.3">
      <c r="B90" s="74">
        <f>$B$69+(-0.01)</f>
        <v>0.14844056045516468</v>
      </c>
      <c r="C90" s="75">
        <f>((SUMPRODUCT(E48:N48,1/(1+$B90)^(E5:N5)))+((N48*(1+C$88)/($B90-C$88))/(1+$B90)^10)+Assumptions!$B$11)/Assumptions!$B$6</f>
        <v>44.7508493565226</v>
      </c>
      <c r="D90" s="75">
        <f>((SUMPRODUCT(E48:N48,1/(1+$B90)^(E5:N5)))+((N48*(1+D$88)/($B90-D$88))/(1+$B90)^10)+Assumptions!$B$11)/Assumptions!$B$6</f>
        <v>47.555655598439962</v>
      </c>
      <c r="E90" s="75">
        <f>((SUMPRODUCT(E48:N48,1/(1+$B90)^(E5:N5)))+((N48*(1+E$88)/($B90-E$88))/(1+$B90)^10)+Assumptions!$B$11)/Assumptions!$B$6</f>
        <v>50.930309518783503</v>
      </c>
      <c r="F90" s="75">
        <f>((SUMPRODUCT(E48:N48,1/(1+$B90)^(E5:N5)))+((N48*(1+F$88)/($B90-F$88))/(1+$B90)^10)+Assumptions!$B$11)/Assumptions!$B$6</f>
        <v>55.068109647829388</v>
      </c>
      <c r="G90" s="75">
        <f>((SUMPRODUCT(E48:N48,1/(1+$B90)^(E5:N5)))+((N48*(1+G$88)/($B90-G$88))/(1+$B90)^10)+Assumptions!$B$11)/Assumptions!$B$6</f>
        <v>60.260925219150465</v>
      </c>
    </row>
    <row r="91" spans="1:14" ht="15" customHeight="1" x14ac:dyDescent="0.3">
      <c r="B91" s="74">
        <f>$B$69+(0)</f>
        <v>0.15844056045516469</v>
      </c>
      <c r="C91" s="75">
        <f>((SUMPRODUCT(E48:N48,1/(1+$B91)^(E5:N5)))+((N48*(1+C$88)/($B91-C$88))/(1+$B91)^10)+Assumptions!$B$11)/Assumptions!$B$6</f>
        <v>39.543272585141096</v>
      </c>
      <c r="D91" s="75">
        <f>((SUMPRODUCT(E48:N48,1/(1+$B91)^(E5:N5)))+((N48*(1+D$88)/($B91-D$88))/(1+$B91)^10)+Assumptions!$B$11)/Assumptions!$B$6</f>
        <v>41.733581310373168</v>
      </c>
      <c r="E91" s="76">
        <f>((SUMPRODUCT(E48:N48,1/(1+$B91)^(E5:N5)))+((N48*(1+E$88)/($B91-E$88))/(1+$B91)^10)+Assumptions!$B$11)/Assumptions!$B$6</f>
        <v>44.327854883451565</v>
      </c>
      <c r="F91" s="75">
        <f>((SUMPRODUCT(E48:N48,1/(1+$B91)^(E5:N5)))+((N48*(1+F$88)/($B91-F$88))/(1+$B91)^10)+Assumptions!$B$11)/Assumptions!$B$6</f>
        <v>47.449202573353993</v>
      </c>
      <c r="G91" s="75">
        <f>((SUMPRODUCT(E48:N48,1/(1+$B91)^(E5:N5)))+((N48*(1+G$88)/($B91-G$88))/(1+$B91)^10)+Assumptions!$B$11)/Assumptions!$B$6</f>
        <v>51.276413653049126</v>
      </c>
    </row>
    <row r="92" spans="1:14" ht="15" customHeight="1" x14ac:dyDescent="0.3">
      <c r="B92" s="74">
        <f>$B$69+(0.01)</f>
        <v>0.1684405604551647</v>
      </c>
      <c r="C92" s="75">
        <f>((SUMPRODUCT(E48:N48,1/(1+$B92)^(E5:N5)))+((N48*(1+C$88)/($B92-C$88))/(1+$B92)^10)+Assumptions!$B$11)/Assumptions!$B$6</f>
        <v>35.194094099610624</v>
      </c>
      <c r="D92" s="75">
        <f>((SUMPRODUCT(E48:N48,1/(1+$B92)^(E5:N5)))+((N48*(1+D$88)/($B92-D$88))/(1+$B92)^10)+Assumptions!$B$11)/Assumptions!$B$6</f>
        <v>36.928483514925873</v>
      </c>
      <c r="E92" s="75">
        <f>((SUMPRODUCT(E48:N48,1/(1+$B92)^(E5:N5)))+((N48*(1+E$88)/($B92-E$88))/(1+$B92)^10)+Assumptions!$B$11)/Assumptions!$B$6</f>
        <v>38.955743786078017</v>
      </c>
      <c r="F92" s="75">
        <f>((SUMPRODUCT(E48:N48,1/(1+$B92)^(E5:N5)))+((N48*(1+F$88)/($B92-F$88))/(1+$B92)^10)+Assumptions!$B$11)/Assumptions!$B$6</f>
        <v>41.356897416438734</v>
      </c>
      <c r="G92" s="75">
        <f>((SUMPRODUCT(E48:N48,1/(1+$B92)^(E5:N5)))+((N48*(1+G$88)/($B92-G$88))/(1+$B92)^10)+Assumptions!$B$11)/Assumptions!$B$6</f>
        <v>44.2458893157525</v>
      </c>
    </row>
    <row r="93" spans="1:14" ht="15" customHeight="1" x14ac:dyDescent="0.3">
      <c r="B93" s="74">
        <f>$B$69+(0.02)</f>
        <v>0.17844056045516468</v>
      </c>
      <c r="C93" s="75">
        <f>((SUMPRODUCT(E48:N48,1/(1+$B93)^(E5:N5)))+((N48*(1+C$88)/($B93-C$88))/(1+$B93)^10)+Assumptions!$B$11)/Assumptions!$B$6</f>
        <v>31.522462499545902</v>
      </c>
      <c r="D93" s="75">
        <f>((SUMPRODUCT(E48:N48,1/(1+$B93)^(E5:N5)))+((N48*(1+D$88)/($B93-D$88))/(1+$B93)^10)+Assumptions!$B$11)/Assumptions!$B$6</f>
        <v>32.912372573298519</v>
      </c>
      <c r="E93" s="75">
        <f>((SUMPRODUCT(E48:N48,1/(1+$B93)^(E5:N5)))+((N48*(1+E$88)/($B93-E$88))/(1+$B93)^10)+Assumptions!$B$11)/Assumptions!$B$6</f>
        <v>34.51871117536448</v>
      </c>
      <c r="F93" s="75">
        <f>((SUMPRODUCT(E48:N48,1/(1+$B93)^(E5:N5)))+((N48*(1+F$88)/($B93-F$88))/(1+$B93)^10)+Assumptions!$B$11)/Assumptions!$B$6</f>
        <v>36.396297835678858</v>
      </c>
      <c r="G93" s="75">
        <f>((SUMPRODUCT(E48:N48,1/(1+$B93)^(E5:N5)))+((N48*(1+G$88)/($B93-G$88))/(1+$B93)^10)+Assumptions!$B$11)/Assumptions!$B$6</f>
        <v>38.620173126821697</v>
      </c>
    </row>
    <row r="95" spans="1:14" ht="15" customHeight="1" x14ac:dyDescent="0.3">
      <c r="A95" s="3" t="s">
        <v>172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" customHeight="1" x14ac:dyDescent="0.3">
      <c r="A96" s="14" t="s">
        <v>173</v>
      </c>
      <c r="B96" s="58">
        <f>Assumptions!$B$5*Assumptions!$B$6</f>
        <v>275995.80000000005</v>
      </c>
    </row>
    <row r="97" spans="1:14" ht="15" customHeight="1" x14ac:dyDescent="0.3">
      <c r="A97" s="14" t="s">
        <v>174</v>
      </c>
      <c r="B97" s="36">
        <f>B96-Assumptions!$B$11</f>
        <v>274472.80000000005</v>
      </c>
    </row>
    <row r="98" spans="1:14" ht="15" customHeight="1" x14ac:dyDescent="0.3">
      <c r="A98" s="14" t="s">
        <v>175</v>
      </c>
      <c r="B98" s="36">
        <f>C77</f>
        <v>14344.768526644204</v>
      </c>
    </row>
    <row r="99" spans="1:14" ht="15" customHeight="1" x14ac:dyDescent="0.3">
      <c r="A99" s="10" t="s">
        <v>176</v>
      </c>
      <c r="B99" s="34">
        <f>B97-B98</f>
        <v>260128.03147335583</v>
      </c>
    </row>
    <row r="100" spans="1:14" ht="15" customHeight="1" x14ac:dyDescent="0.3">
      <c r="A100" s="14" t="s">
        <v>177</v>
      </c>
      <c r="B100" s="36">
        <f>B99*(1+$B$69)^10</f>
        <v>1132204.0525671558</v>
      </c>
    </row>
    <row r="101" spans="1:14" ht="15" customHeight="1" x14ac:dyDescent="0.3">
      <c r="A101" s="31" t="s">
        <v>178</v>
      </c>
      <c r="B101" s="59">
        <f>B100*($B$69-C74)/(1+C74)</f>
        <v>116930.32572380106</v>
      </c>
    </row>
    <row r="102" spans="1:14" ht="15" customHeight="1" x14ac:dyDescent="0.3">
      <c r="A102" s="14" t="s">
        <v>179</v>
      </c>
      <c r="B102" s="36">
        <f>C73</f>
        <v>12055.856268893931</v>
      </c>
    </row>
    <row r="103" spans="1:14" ht="15" customHeight="1" x14ac:dyDescent="0.3">
      <c r="A103" s="10" t="s">
        <v>180</v>
      </c>
      <c r="B103" s="77">
        <f>B101/B102-1</f>
        <v>8.6990477586814219</v>
      </c>
    </row>
    <row r="104" spans="1:14" ht="15" customHeight="1" x14ac:dyDescent="0.3">
      <c r="A104" s="14" t="s">
        <v>181</v>
      </c>
      <c r="B104" s="78">
        <f>N48/N14</f>
        <v>5.9969136363636384E-2</v>
      </c>
    </row>
    <row r="105" spans="1:14" ht="15" customHeight="1" x14ac:dyDescent="0.3">
      <c r="A105" s="31" t="s">
        <v>182</v>
      </c>
      <c r="B105" s="59">
        <f>B101/B104</f>
        <v>1949841.7488417318</v>
      </c>
    </row>
    <row r="106" spans="1:14" ht="15" customHeight="1" x14ac:dyDescent="0.3">
      <c r="A106" s="14" t="s">
        <v>183</v>
      </c>
      <c r="B106" s="36">
        <f>N14</f>
        <v>201034.34866546231</v>
      </c>
    </row>
    <row r="107" spans="1:14" ht="15" customHeight="1" x14ac:dyDescent="0.3">
      <c r="A107" s="4" t="s">
        <v>184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</sheetData>
  <mergeCells count="11">
    <mergeCell ref="A107:N107"/>
    <mergeCell ref="A61:N61"/>
    <mergeCell ref="A71:N71"/>
    <mergeCell ref="A86:N86"/>
    <mergeCell ref="A87:N87"/>
    <mergeCell ref="A95:N95"/>
    <mergeCell ref="A1:N1"/>
    <mergeCell ref="A2:N2"/>
    <mergeCell ref="A7:N7"/>
    <mergeCell ref="A17:N17"/>
    <mergeCell ref="A27:N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Assumptions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Mansha</cp:lastModifiedBy>
  <cp:revision>0</cp:revision>
  <dcterms:created xsi:type="dcterms:W3CDTF">2026-07-20T07:53:32Z</dcterms:created>
  <dcterms:modified xsi:type="dcterms:W3CDTF">2026-07-23T14:49:05Z</dcterms:modified>
  <dc:language>en-US</dc:language>
</cp:coreProperties>
</file>